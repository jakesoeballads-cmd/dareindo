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Transaksi" sheetId="3" state="visible" r:id="rId3"/>
    <sheet xmlns:r="http://schemas.openxmlformats.org/officeDocument/2006/relationships" name="Dampak" sheetId="4" state="visible" r:id="rId4"/>
    <sheet xmlns:r="http://schemas.openxmlformats.org/officeDocument/2006/relationships" name="Referensi" sheetId="5" state="visible" r:id="rId5"/>
  </sheets>
  <definedNames>
    <definedName name="_xlnm._FilterDatabase" localSheetId="2" hidden="1">'Transaksi'!$A$4:$N$1004</definedName>
    <definedName name="_xlnm._FilterDatabase" localSheetId="3" hidden="1">'Dampak'!$A$4:$J$1004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&quot;Rp&quot;#,##0;&quot;(Rp&quot;#,##0\);\-"/>
    <numFmt numFmtId="165" formatCode="#,##0.##"/>
    <numFmt numFmtId="166" formatCode="0.0%"/>
    <numFmt numFmtId="167" formatCode="dd/mm/yyyy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D3A"/>
      <sz val="16"/>
    </font>
    <font>
      <name val="Arial"/>
      <charset val="1"/>
      <family val="0"/>
      <i val="1"/>
      <color rgb="FF5B6862"/>
      <sz val="10"/>
    </font>
    <font>
      <name val="Arial"/>
      <charset val="1"/>
      <family val="0"/>
      <b val="1"/>
      <color rgb="FF1F4D3A"/>
      <sz val="12"/>
    </font>
    <font>
      <name val="Arial"/>
      <charset val="1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5B6862"/>
      <sz val="9"/>
    </font>
    <font>
      <name val="Arial"/>
      <charset val="1"/>
      <family val="0"/>
      <color rgb="FF5B6862"/>
      <sz val="9"/>
    </font>
    <font>
      <name val="Arial"/>
      <charset val="1"/>
      <family val="0"/>
      <color rgb="FF9C2B10"/>
      <sz val="9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color rgb="FF7A7A7A"/>
      <sz val="11"/>
    </font>
  </fonts>
  <fills count="6">
    <fill>
      <patternFill/>
    </fill>
    <fill>
      <patternFill patternType="gray125"/>
    </fill>
    <fill>
      <patternFill patternType="solid">
        <fgColor rgb="FF1F4D3A"/>
        <bgColor rgb="FF333300"/>
      </patternFill>
    </fill>
    <fill>
      <patternFill patternType="solid">
        <fgColor rgb="FFE3EFD8"/>
        <bgColor rgb="FFEDEDED"/>
      </patternFill>
    </fill>
    <fill>
      <patternFill patternType="solid">
        <fgColor rgb="FFFFF2B3"/>
        <bgColor rgb="FFFFFF99"/>
      </patternFill>
    </fill>
    <fill>
      <patternFill patternType="solid">
        <fgColor rgb="FFEDEDED"/>
        <bgColor rgb="FFE3EFD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164" fontId="10" fillId="3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" fontId="14" fillId="4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7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164" fontId="15" fillId="0" borderId="1" applyAlignment="1" pivotButton="0" quotePrefix="0" xfId="0">
      <alignment horizontal="general" vertical="bottom"/>
    </xf>
    <xf numFmtId="164" fontId="15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164" fontId="8" fillId="5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164" fontId="10" fillId="3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" fontId="14" fillId="4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7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164" fontId="15" fillId="0" borderId="1" applyAlignment="1" pivotButton="0" quotePrefix="0" xfId="0">
      <alignment horizontal="general" vertical="bottom"/>
    </xf>
    <xf numFmtId="164" fontId="15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164" fontId="8" fillId="5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D3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A7A7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9C2B10"/>
      </font>
      <fill>
        <patternFill>
          <bgColor rgb="FFF8D7CF"/>
        </patternFill>
      </fill>
    </dxf>
    <dxf>
      <font>
        <name val="Arial"/>
        <charset val="1"/>
        <family val="0"/>
        <b val="1"/>
        <color rgb="FF9C2B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A7A7A"/>
      <rgbColor rgb="FF9999FF"/>
      <rgbColor rgb="FF993366"/>
      <rgbColor rgb="FFFFF2B3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FD8"/>
      <rgbColor rgb="FFFFFF99"/>
      <rgbColor rgb="FF99CCFF"/>
      <rgbColor rgb="FFFF99CC"/>
      <rgbColor rgb="FFCC99FF"/>
      <rgbColor rgb="FFF8D7CF"/>
      <rgbColor rgb="FF3366FF"/>
      <rgbColor rgb="FF33CCCC"/>
      <rgbColor rgb="FF99CC00"/>
      <rgbColor rgb="FFE9C46A"/>
      <rgbColor rgb="FFFF9900"/>
      <rgbColor rgb="FFFF6600"/>
      <rgbColor rgb="FF5B6862"/>
      <rgbColor rgb="FFA7C48A"/>
      <rgbColor rgb="FF003366"/>
      <rgbColor rgb="FF5F8A4E"/>
      <rgbColor rgb="FF003300"/>
      <rgbColor rgb="FF333300"/>
      <rgbColor rgb="FF9C2B10"/>
      <rgbColor rgb="FF993366"/>
      <rgbColor rgb="FF333399"/>
      <rgbColor rgb="FF1F4D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E9C46A"/>
    <outlinePr summaryBelow="1" summaryRight="1"/>
    <pageSetUpPr fitToPage="0"/>
  </sheetPr>
  <dimension ref="A1:B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110" customWidth="1" style="32" min="2" max="2"/>
  </cols>
  <sheetData>
    <row r="1" ht="19.7" customHeight="1" s="33">
      <c r="A1" s="34" t="inlineStr">
        <is>
          <t>Buku Kas Publik — PT Daya Reforestasi Indonesia</t>
        </is>
      </c>
    </row>
    <row r="2" ht="15" customHeight="1" s="33">
      <c r="A2" s="35" t="inlineStr">
        <is>
          <t>Template pencatatan keuangan &amp; dampak terbuka. Baca panduan ini sebelum mulai mengisi.</t>
        </is>
      </c>
    </row>
    <row r="4" ht="15" customHeight="1" s="33">
      <c r="B4" s="36" t="inlineStr">
        <is>
          <t>Cara mengisi</t>
        </is>
      </c>
    </row>
    <row r="5" ht="15" customHeight="1" s="33">
      <c r="B5" s="37" t="inlineStr">
        <is>
          <t>1. Hapus semua baris [CONTOH] di tab Transaksi dan Dampak sebelum mulai mencatat (pilih baris → hapus isi sel putihnya saja).</t>
        </is>
      </c>
    </row>
    <row r="6" ht="15" customHeight="1" s="33">
      <c r="B6" s="37" t="inlineStr">
        <is>
          <t>2. Tab Transaksi: satu baris untuk setiap uang masuk atau keluar. Pilih Jenis, Kategori, dan Proyek dari dropdown.</t>
        </is>
      </c>
    </row>
    <row r="7" ht="15" customHeight="1" s="33">
      <c r="B7" s="37" t="inlineStr">
        <is>
          <t>3. Isi Jumlah sebagai angka positif tanpa titik atau 'Rp'. Arah uang ditentukan oleh kolom Jenis (Masuk/Keluar).</t>
        </is>
      </c>
    </row>
    <row r="8" ht="15" customHeight="1" s="33">
      <c r="B8" s="37" t="inlineStr">
        <is>
          <t>4. Unggah foto nota/kuitansi ke folder Google Drive bersama, lalu tempel tautannya di kolom Tautan Bukti.</t>
        </is>
      </c>
    </row>
    <row r="9" ht="15" customHeight="1" s="33">
      <c r="B9" s="37" t="inlineStr">
        <is>
          <t>5. Status 'Menunggu Verifikasi' sampai orang kedua (bukan pencatat) mencocokkan bukti dan jumlah, lalu ubah ke 'Terverifikasi'.</t>
        </is>
      </c>
    </row>
    <row r="10" ht="15" customHeight="1" s="33">
      <c r="B10" s="37" t="inlineStr">
        <is>
          <t>6. Tab Dampak: catat capaian BARU saja per baris (mis. 200 pohon ditanam minggu ini), bukan total kumulatif.</t>
        </is>
      </c>
    </row>
    <row r="11" ht="15" customHeight="1" s="33">
      <c r="B11" s="37" t="inlineStr">
        <is>
          <t>7. Tab Ringkasan terisi otomatis. Ganti sel kuning 'Tahun' untuk melihat arus kas bulanan tahun lain.</t>
        </is>
      </c>
    </row>
    <row r="12" ht="15" customHeight="1" s="33">
      <c r="B12" s="37" t="inlineStr">
        <is>
          <t>8. Perlu kategori, proyek, atau indikator baru? Tambahkan di baris kuning tab Referensi; dropdown ikut bertambah.</t>
        </is>
      </c>
    </row>
    <row r="14" ht="15" customHeight="1" s="33">
      <c r="B14" s="36" t="inlineStr">
        <is>
          <t>Arti warna</t>
        </is>
      </c>
    </row>
    <row r="15" ht="15" customHeight="1" s="33">
      <c r="B15" s="37" t="inlineStr">
        <is>
          <t>Sel putih = diisi manual  ·  Sel abu-abu = otomatis (rumus), jangan diubah  ·  Sel kuning = boleh diubah/ditambah</t>
        </is>
      </c>
    </row>
    <row r="16" ht="15" customHeight="1" s="33">
      <c r="B16" s="37" t="inlineStr">
        <is>
          <t>Kolom 'Cek' berwarna merah artinya Jenis tidak cocok dengan Kategori (mis. 'Penjualan Bibit' dicatat sebagai Keluar).</t>
        </is>
      </c>
    </row>
    <row r="18" ht="15" customHeight="1" s="33">
      <c r="B18" s="36" t="inlineStr">
        <is>
          <t>Format nomor bukti (saran)</t>
        </is>
      </c>
    </row>
    <row r="19" ht="23.85" customHeight="1" s="33">
      <c r="B19" s="37" t="inlineStr">
        <is>
          <t>BKM-YYMM-NNN untuk bukti kas masuk, BKK-YYMM-NNN untuk bukti kas keluar. Contoh: BKK-2610-003 = keluar ke-3 bulan Oktober 2026.</t>
        </is>
      </c>
    </row>
    <row r="21" ht="15" customHeight="1" s="33">
      <c r="B21" s="36" t="inlineStr">
        <is>
          <t>Aturan privasi (UU PDP No. 27/2022) — WAJIB</t>
        </is>
      </c>
    </row>
    <row r="22" ht="15" customHeight="1" s="33">
      <c r="B22" s="37" t="inlineStr">
        <is>
          <t>• Jangan menulis nama pribadi, NIK, nomor rekening, atau nomor HP di file ini. File ini akan dibuka untuk publik.</t>
        </is>
      </c>
    </row>
    <row r="23" ht="15" customHeight="1" s="33">
      <c r="B23" s="37" t="inlineStr">
        <is>
          <t>• Upah dan gaji ditulis per peran atau kelompok, mis. 'Upah 8 pekerja lokal' atau 'Gaji tim inti Oktober', bukan per nama.</t>
        </is>
      </c>
    </row>
    <row r="24" ht="15" customHeight="1" s="33">
      <c r="B24" s="37" t="inlineStr">
        <is>
          <t>• Nama badan usaha (vendor, mitra perusahaan) boleh ditulis. Investor perorangan cukup ditulis 'Investor individu'.</t>
        </is>
      </c>
    </row>
    <row r="25" ht="15" customHeight="1" s="33">
      <c r="B25" s="37" t="inlineStr">
        <is>
          <t>• Sebelum menempel tautan bukti, sensor (tutup) data pribadi yang terlihat di foto nota.</t>
        </is>
      </c>
    </row>
    <row r="27" ht="15" customHeight="1" s="33">
      <c r="B27" s="36" t="inlineStr">
        <is>
          <t>Menghubungkan ke website</t>
        </is>
      </c>
    </row>
    <row r="28" ht="15" customHeight="1" s="33">
      <c r="B28" s="37" t="inlineStr">
        <is>
          <t>1. Unggah file ini ke Google Drive → buka dengan Google Spreadsheet → File → Simpan sebagai Google Spreadsheet.</t>
        </is>
      </c>
    </row>
    <row r="29" ht="15" customHeight="1" s="33">
      <c r="B29" s="37" t="inlineStr">
        <is>
          <t>2. File → Bagikan → Publikasikan ke web → pilih tab Transaksi, Dampak, dan Ringkasan → format CSV → Publikasikan.</t>
        </is>
      </c>
    </row>
    <row r="30" ht="15" customHeight="1" s="33">
      <c r="B30" s="37" t="inlineStr">
        <is>
          <t>3. Kirim tautan CSV tersebut ke tim website. Halaman Transparansi akan menampilkan data terbaru secara otomatis.</t>
        </is>
      </c>
    </row>
    <row r="31" ht="15" customHeight="1" s="33">
      <c r="B31" s="37" t="inlineStr">
        <is>
          <t>4. Simpan pembukuan resmi untuk pajak (dengan data lengkap) di file/software terpisah. File ini adalah lapisan publiknya.</t>
        </is>
      </c>
    </row>
    <row r="33" ht="15" customHeight="1" s="33">
      <c r="B33" s="36" t="inlineStr">
        <is>
          <t>Catatan penting</t>
        </is>
      </c>
    </row>
    <row r="34" ht="23.85" customHeight="1" s="33">
      <c r="B34" s="37" t="inlineStr">
        <is>
          <t>Ringkasan di file ini berbasis kas (uang masuk dan keluar). Ini bukan pengganti laporan keuangan resmi PT. Untuk laporan keuangan dan perpajakan, konsultasikan dengan akuntan atau konsultan pajak.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4D3A"/>
    <outlinePr summaryBelow="1" summaryRight="1"/>
    <pageSetUpPr fitToPage="0"/>
  </sheetPr>
  <dimension ref="A1:J1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32" min="1" max="1"/>
    <col width="17" customWidth="1" style="32" min="2" max="10"/>
    <col width="4" customWidth="1" style="32" min="11" max="11"/>
  </cols>
  <sheetData>
    <row r="1" ht="19.7" customHeight="1" s="33">
      <c r="A1" s="34" t="inlineStr">
        <is>
          <t>Ringkasan Keuangan &amp; Dampak</t>
        </is>
      </c>
    </row>
    <row r="2" ht="15" customHeight="1" s="33">
      <c r="A2" s="35" t="inlineStr">
        <is>
          <t>Seluruh tab ini terisi otomatis dari tab Transaksi dan Dampak. Hanya sel kuning (Tahun) yang boleh diubah.</t>
        </is>
      </c>
    </row>
    <row r="4" ht="15" customHeight="1" s="33">
      <c r="A4" s="36" t="inlineStr">
        <is>
          <t>A. Posisi Keseluruhan (sejak awal pencatatan)</t>
        </is>
      </c>
      <c r="D4" s="36" t="inlineStr">
        <is>
          <t>E. Dampak (sejak awal pencatatan)</t>
        </is>
      </c>
    </row>
    <row r="5" ht="31.5" customHeight="1" s="33">
      <c r="A5" s="38" t="inlineStr">
        <is>
          <t>Pendapatan usaha</t>
        </is>
      </c>
      <c r="B5" s="39">
        <f>SUMIFS(Transaksi!$J$5:$J$1004,Transaksi!$F$5:$F$1004,"Pendapatan Usaha",Transaksi!$M$5:$M$1004,"Terverifikasi",Transaksi!$H$5:$H$1004,"&lt;&gt;*[CONTOH]*")</f>
        <v/>
      </c>
      <c r="D5" s="40" t="inlineStr">
        <is>
          <t>Indikator</t>
        </is>
      </c>
      <c r="E5" s="40" t="inlineStr">
        <is>
          <t>Satuan</t>
        </is>
      </c>
      <c r="F5" s="40" t="inlineStr">
        <is>
          <t>Total</t>
        </is>
      </c>
      <c r="G5" s="40" t="inlineStr">
        <is>
          <t>Terverifikasi</t>
        </is>
      </c>
    </row>
    <row r="6" ht="15" customHeight="1" s="33">
      <c r="A6" s="38" t="inlineStr">
        <is>
          <t>Pendanaan &amp; modal</t>
        </is>
      </c>
      <c r="B6" s="39">
        <f>SUMIFS(Transaksi!$J$5:$J$1004,Transaksi!$F$5:$F$1004,"Pendanaan &amp; Modal",Transaksi!$M$5:$M$1004,"Terverifikasi",Transaksi!$H$5:$H$1004,"&lt;&gt;*[CONTOH]*")</f>
        <v/>
      </c>
      <c r="D6" s="38">
        <f>IF(Referensi!$I$5="","",Referensi!$I$5)</f>
        <v/>
      </c>
      <c r="E6" s="38">
        <f>IF(D6="","",Referensi!$J$5)</f>
        <v/>
      </c>
      <c r="F6" s="41">
        <f>IF(D6="","",SUMIFS(Dampak!$E$5:$E$1004,Dampak!$D$5:$D$1004,D6,Dampak!$H$5:$H$1004,"&lt;&gt;*[CONTOH]*"))</f>
        <v/>
      </c>
      <c r="G6" s="41">
        <f>IF(D6="","",SUMIFS(Dampak!$E$5:$E$1004,Dampak!$D$5:$D$1004,D6,Dampak!$J$5:$J$1004,"Terverifikasi",Dampak!$H$5:$H$1004,"&lt;&gt;*[CONTOH]*"))</f>
        <v/>
      </c>
    </row>
    <row r="7" ht="15" customHeight="1" s="33">
      <c r="A7" s="42" t="inlineStr">
        <is>
          <t>Total uang masuk</t>
        </is>
      </c>
      <c r="B7" s="43">
        <f>B5+B6</f>
        <v/>
      </c>
      <c r="D7" s="38">
        <f>IF(Referensi!$I$6="","",Referensi!$I$6)</f>
        <v/>
      </c>
      <c r="E7" s="38">
        <f>IF(D7="","",Referensi!$J$6)</f>
        <v/>
      </c>
      <c r="F7" s="41">
        <f>IF(D7="","",SUMIFS(Dampak!$E$5:$E$1004,Dampak!$D$5:$D$1004,D7,Dampak!$H$5:$H$1004,"&lt;&gt;*[CONTOH]*"))</f>
        <v/>
      </c>
      <c r="G7" s="41">
        <f>IF(D7="","",SUMIFS(Dampak!$E$5:$E$1004,Dampak!$D$5:$D$1004,D7,Dampak!$J$5:$J$1004,"Terverifikasi",Dampak!$H$5:$H$1004,"&lt;&gt;*[CONTOH]*"))</f>
        <v/>
      </c>
    </row>
    <row r="8" ht="15" customHeight="1" s="33">
      <c r="A8" s="38" t="inlineStr">
        <is>
          <t>Biaya proyek (langsung ke lapangan)</t>
        </is>
      </c>
      <c r="B8" s="39">
        <f>SUMIFS(Transaksi!$J$5:$J$1004,Transaksi!$F$5:$F$1004,"Biaya Proyek",Transaksi!$M$5:$M$1004,"Terverifikasi",Transaksi!$H$5:$H$1004,"&lt;&gt;*[CONTOH]*")</f>
        <v/>
      </c>
      <c r="D8" s="38">
        <f>IF(Referensi!$I$7="","",Referensi!$I$7)</f>
        <v/>
      </c>
      <c r="E8" s="38">
        <f>IF(D8="","",Referensi!$J$7)</f>
        <v/>
      </c>
      <c r="F8" s="41">
        <f>IF(D8="","",SUMIFS(Dampak!$E$5:$E$1004,Dampak!$D$5:$D$1004,D8,Dampak!$H$5:$H$1004,"&lt;&gt;*[CONTOH]*"))</f>
        <v/>
      </c>
      <c r="G8" s="41">
        <f>IF(D8="","",SUMIFS(Dampak!$E$5:$E$1004,Dampak!$D$5:$D$1004,D8,Dampak!$J$5:$J$1004,"Terverifikasi",Dampak!$H$5:$H$1004,"&lt;&gt;*[CONTOH]*"))</f>
        <v/>
      </c>
    </row>
    <row r="9" ht="15" customHeight="1" s="33">
      <c r="A9" s="38" t="inlineStr">
        <is>
          <t>Biaya operasional</t>
        </is>
      </c>
      <c r="B9" s="39">
        <f>SUMIFS(Transaksi!$J$5:$J$1004,Transaksi!$F$5:$F$1004,"Biaya Operasional",Transaksi!$M$5:$M$1004,"Terverifikasi",Transaksi!$H$5:$H$1004,"&lt;&gt;*[CONTOH]*")</f>
        <v/>
      </c>
      <c r="D9" s="38">
        <f>IF(Referensi!$I$8="","",Referensi!$I$8)</f>
        <v/>
      </c>
      <c r="E9" s="38">
        <f>IF(D9="","",Referensi!$J$8)</f>
        <v/>
      </c>
      <c r="F9" s="41">
        <f>IF(D9="","",SUMIFS(Dampak!$E$5:$E$1004,Dampak!$D$5:$D$1004,D9,Dampak!$H$5:$H$1004,"&lt;&gt;*[CONTOH]*"))</f>
        <v/>
      </c>
      <c r="G9" s="41">
        <f>IF(D9="","",SUMIFS(Dampak!$E$5:$E$1004,Dampak!$D$5:$D$1004,D9,Dampak!$J$5:$J$1004,"Terverifikasi",Dampak!$H$5:$H$1004,"&lt;&gt;*[CONTOH]*"))</f>
        <v/>
      </c>
    </row>
    <row r="10" ht="15" customHeight="1" s="33">
      <c r="A10" s="38" t="inlineStr">
        <is>
          <t>Pajak</t>
        </is>
      </c>
      <c r="B10" s="39">
        <f>SUMIFS(Transaksi!$J$5:$J$1004,Transaksi!$F$5:$F$1004,"Pajak",Transaksi!$M$5:$M$1004,"Terverifikasi",Transaksi!$H$5:$H$1004,"&lt;&gt;*[CONTOH]*")</f>
        <v/>
      </c>
      <c r="D10" s="38">
        <f>IF(Referensi!$I$9="","",Referensi!$I$9)</f>
        <v/>
      </c>
      <c r="E10" s="38">
        <f>IF(D10="","",Referensi!$J$9)</f>
        <v/>
      </c>
      <c r="F10" s="41">
        <f>IF(D10="","",SUMIFS(Dampak!$E$5:$E$1004,Dampak!$D$5:$D$1004,D10,Dampak!$H$5:$H$1004,"&lt;&gt;*[CONTOH]*"))</f>
        <v/>
      </c>
      <c r="G10" s="41">
        <f>IF(D10="","",SUMIFS(Dampak!$E$5:$E$1004,Dampak!$D$5:$D$1004,D10,Dampak!$J$5:$J$1004,"Terverifikasi",Dampak!$H$5:$H$1004,"&lt;&gt;*[CONTOH]*"))</f>
        <v/>
      </c>
    </row>
    <row r="11" ht="15" customHeight="1" s="33">
      <c r="A11" s="42" t="inlineStr">
        <is>
          <t>Total uang keluar</t>
        </is>
      </c>
      <c r="B11" s="43">
        <f>B8+B9+B10</f>
        <v/>
      </c>
      <c r="D11" s="38">
        <f>IF(Referensi!$I$10="","",Referensi!$I$10)</f>
        <v/>
      </c>
      <c r="E11" s="38">
        <f>IF(D11="","",Referensi!$J$10)</f>
        <v/>
      </c>
      <c r="F11" s="41">
        <f>IF(D11="","",SUMIFS(Dampak!$E$5:$E$1004,Dampak!$D$5:$D$1004,D11,Dampak!$H$5:$H$1004,"&lt;&gt;*[CONTOH]*"))</f>
        <v/>
      </c>
      <c r="G11" s="41">
        <f>IF(D11="","",SUMIFS(Dampak!$E$5:$E$1004,Dampak!$D$5:$D$1004,D11,Dampak!$J$5:$J$1004,"Terverifikasi",Dampak!$H$5:$H$1004,"&lt;&gt;*[CONTOH]*"))</f>
        <v/>
      </c>
    </row>
    <row r="12" ht="15" customHeight="1" s="33">
      <c r="A12" s="42" t="inlineStr">
        <is>
          <t>Saldo kas</t>
        </is>
      </c>
      <c r="B12" s="43">
        <f>B7-B11</f>
        <v/>
      </c>
      <c r="D12" s="38">
        <f>IF(Referensi!$I$11="","",Referensi!$I$11)</f>
        <v/>
      </c>
      <c r="E12" s="38">
        <f>IF(D12="","",Referensi!$J$11)</f>
        <v/>
      </c>
      <c r="F12" s="41">
        <f>IF(D12="","",SUMIFS(Dampak!$E$5:$E$1004,Dampak!$D$5:$D$1004,D12,Dampak!$H$5:$H$1004,"&lt;&gt;*[CONTOH]*"))</f>
        <v/>
      </c>
      <c r="G12" s="41">
        <f>IF(D12="","",SUMIFS(Dampak!$E$5:$E$1004,Dampak!$D$5:$D$1004,D12,Dampak!$J$5:$J$1004,"Terverifikasi",Dampak!$H$5:$H$1004,"&lt;&gt;*[CONTOH]*"))</f>
        <v/>
      </c>
    </row>
    <row r="13" ht="15" customHeight="1" s="33">
      <c r="A13" s="42" t="inlineStr">
        <is>
          <t>Laba / (rugi) usaha</t>
        </is>
      </c>
      <c r="B13" s="43">
        <f>B5-B11</f>
        <v/>
      </c>
      <c r="D13" s="38">
        <f>IF(Referensi!$I$12="","",Referensi!$I$12)</f>
        <v/>
      </c>
      <c r="E13" s="38">
        <f>IF(D13="","",Referensi!$J$12)</f>
        <v/>
      </c>
      <c r="F13" s="41">
        <f>IF(D13="","",SUMIFS(Dampak!$E$5:$E$1004,Dampak!$D$5:$D$1004,D13,Dampak!$H$5:$H$1004,"&lt;&gt;*[CONTOH]*"))</f>
        <v/>
      </c>
      <c r="G13" s="41">
        <f>IF(D13="","",SUMIFS(Dampak!$E$5:$E$1004,Dampak!$D$5:$D$1004,D13,Dampak!$J$5:$J$1004,"Terverifikasi",Dampak!$H$5:$H$1004,"&lt;&gt;*[CONTOH]*"))</f>
        <v/>
      </c>
    </row>
    <row r="14" ht="15" customHeight="1" s="33">
      <c r="A14" s="38" t="inlineStr">
        <is>
          <t>Porsi pengeluaran untuk proyek</t>
        </is>
      </c>
      <c r="B14" s="44">
        <f>IF(B11=0,0,B8/B11)</f>
        <v/>
      </c>
      <c r="D14" s="38">
        <f>IF(Referensi!$I$13="","",Referensi!$I$13)</f>
        <v/>
      </c>
      <c r="E14" s="38">
        <f>IF(D14="","",Referensi!$J$13)</f>
        <v/>
      </c>
      <c r="F14" s="41">
        <f>IF(D14="","",SUMIFS(Dampak!$E$5:$E$1004,Dampak!$D$5:$D$1004,D14,Dampak!$H$5:$H$1004,"&lt;&gt;*[CONTOH]*"))</f>
        <v/>
      </c>
      <c r="G14" s="41">
        <f>IF(D14="","",SUMIFS(Dampak!$E$5:$E$1004,Dampak!$D$5:$D$1004,D14,Dampak!$J$5:$J$1004,"Terverifikasi",Dampak!$H$5:$H$1004,"&lt;&gt;*[CONTOH]*"))</f>
        <v/>
      </c>
    </row>
    <row r="15" ht="15" customHeight="1" s="33">
      <c r="A15" s="38" t="inlineStr">
        <is>
          <t>Transaksi menunggu verifikasi</t>
        </is>
      </c>
      <c r="B15" s="45">
        <f>COUNTIFS(Transaksi!$M$5:$M$1004,"Menunggu Verifikasi",Transaksi!$H$5:$H$1004,"&lt;&gt;*[CONTOH]*")</f>
        <v/>
      </c>
      <c r="D15" s="38">
        <f>IF(Referensi!$I$14="","",Referensi!$I$14)</f>
        <v/>
      </c>
      <c r="E15" s="38">
        <f>IF(D15="","",Referensi!$J$14)</f>
        <v/>
      </c>
      <c r="F15" s="41">
        <f>IF(D15="","",SUMIFS(Dampak!$E$5:$E$1004,Dampak!$D$5:$D$1004,D15,Dampak!$H$5:$H$1004,"&lt;&gt;*[CONTOH]*"))</f>
        <v/>
      </c>
      <c r="G15" s="41">
        <f>IF(D15="","",SUMIFS(Dampak!$E$5:$E$1004,Dampak!$D$5:$D$1004,D15,Dampak!$J$5:$J$1004,"Terverifikasi",Dampak!$H$5:$H$1004,"&lt;&gt;*[CONTOH]*"))</f>
        <v/>
      </c>
    </row>
    <row r="16" ht="15" customHeight="1" s="33">
      <c r="A16" s="46" t="inlineStr">
        <is>
          <t>Catatan: ringkasan berbasis kas (uang masuk/keluar), bukan laporan keuangan resmi. Laba/(rugi) usaha = pendapatan usaha − seluruh pengeluaran; modal &amp; investasi tidak dihitung sebagai pendapatan. Semua angka uang hanya menghitung transaksi berstatus Terverifikasi; baris [CONTOH] tidak pernah dihitung.</t>
        </is>
      </c>
      <c r="D16" s="46" t="inlineStr">
        <is>
          <t>10 indikator pertama dari tab Referensi.</t>
        </is>
      </c>
    </row>
    <row r="17" ht="15" customHeight="1" s="33">
      <c r="A17" s="47" t="inlineStr">
        <is>
          <t>Uang masuk yang belum dikelompokkan (kategori tidak dikenal):</t>
        </is>
      </c>
      <c r="B17" s="48">
        <f>SUMIFS(Transaksi!$J$5:$J$1004,Transaksi!$F$5:$F$1004,"?",Transaksi!$M$5:$M$1004,"Terverifikasi",Transaksi!$H$5:$H$1004,"&lt;&gt;*[CONTOH]*")</f>
        <v/>
      </c>
    </row>
    <row r="19" ht="15" customHeight="1" s="33">
      <c r="A19" s="36" t="inlineStr">
        <is>
          <t>B. Arus Kas Bulanan</t>
        </is>
      </c>
    </row>
    <row r="20" ht="15" customHeight="1" s="33">
      <c r="A20" s="49" t="inlineStr">
        <is>
          <t>Tahun</t>
        </is>
      </c>
      <c r="B20" s="50" t="n">
        <v>2026</v>
      </c>
    </row>
    <row r="21" ht="31.5" customHeight="1" s="33">
      <c r="A21" s="40" t="inlineStr">
        <is>
          <t>Bulan</t>
        </is>
      </c>
      <c r="B21" s="40" t="inlineStr">
        <is>
          <t>Pendapatan Usaha</t>
        </is>
      </c>
      <c r="C21" s="40" t="inlineStr">
        <is>
          <t>Pendanaan &amp; Modal</t>
        </is>
      </c>
      <c r="D21" s="40" t="inlineStr">
        <is>
          <t>Total Masuk</t>
        </is>
      </c>
      <c r="E21" s="40" t="inlineStr">
        <is>
          <t>Biaya Proyek</t>
        </is>
      </c>
      <c r="F21" s="40" t="inlineStr">
        <is>
          <t>Biaya Operasional</t>
        </is>
      </c>
      <c r="G21" s="40" t="inlineStr">
        <is>
          <t>Pajak</t>
        </is>
      </c>
      <c r="H21" s="40" t="inlineStr">
        <is>
          <t>Total Keluar</t>
        </is>
      </c>
      <c r="I21" s="40" t="inlineStr">
        <is>
          <t>Selisih Bulan Ini</t>
        </is>
      </c>
      <c r="J21" s="40" t="inlineStr">
        <is>
          <t>Saldo Akhir Bulan</t>
        </is>
      </c>
    </row>
    <row r="22" ht="15" customHeight="1" s="33">
      <c r="A22" s="38" t="inlineStr">
        <is>
          <t>Januari</t>
        </is>
      </c>
      <c r="B22" s="39">
        <f>SUMIFS(Transaksi!$J$5:$J$1004,Transaksi!$F$5:$F$1004,"Pendapatan Usaha",Transaksi!$B$5:$B$1004,"&gt;="&amp;DATE($B$20,1,1),Transaksi!$B$5:$B$1004,"&lt;"&amp;DATE($B$20,2,1),Transaksi!$M$5:$M$1004,"Terverifikasi",Transaksi!$H$5:$H$1004,"&lt;&gt;*[CONTOH]*")</f>
        <v/>
      </c>
      <c r="C22" s="39">
        <f>SUMIFS(Transaksi!$J$5:$J$1004,Transaksi!$F$5:$F$1004,"Pendanaan &amp; Modal",Transaksi!$B$5:$B$1004,"&gt;="&amp;DATE($B$20,1,1),Transaksi!$B$5:$B$1004,"&lt;"&amp;DATE($B$20,2,1),Transaksi!$M$5:$M$1004,"Terverifikasi",Transaksi!$H$5:$H$1004,"&lt;&gt;*[CONTOH]*")</f>
        <v/>
      </c>
      <c r="D22" s="39">
        <f>B22+C22</f>
        <v/>
      </c>
      <c r="E22" s="39">
        <f>SUMIFS(Transaksi!$J$5:$J$1004,Transaksi!$F$5:$F$1004,"Biaya Proyek",Transaksi!$B$5:$B$1004,"&gt;="&amp;DATE($B$20,1,1),Transaksi!$B$5:$B$1004,"&lt;"&amp;DATE($B$20,2,1),Transaksi!$M$5:$M$1004,"Terverifikasi",Transaksi!$H$5:$H$1004,"&lt;&gt;*[CONTOH]*")</f>
        <v/>
      </c>
      <c r="F22" s="39">
        <f>SUMIFS(Transaksi!$J$5:$J$1004,Transaksi!$F$5:$F$1004,"Biaya Operasional",Transaksi!$B$5:$B$1004,"&gt;="&amp;DATE($B$20,1,1),Transaksi!$B$5:$B$1004,"&lt;"&amp;DATE($B$20,2,1),Transaksi!$M$5:$M$1004,"Terverifikasi",Transaksi!$H$5:$H$1004,"&lt;&gt;*[CONTOH]*")</f>
        <v/>
      </c>
      <c r="G22" s="39">
        <f>SUMIFS(Transaksi!$J$5:$J$1004,Transaksi!$F$5:$F$1004,"Pajak",Transaksi!$B$5:$B$1004,"&gt;="&amp;DATE($B$20,1,1),Transaksi!$B$5:$B$1004,"&lt;"&amp;DATE($B$20,2,1),Transaksi!$M$5:$M$1004,"Terverifikasi",Transaksi!$H$5:$H$1004,"&lt;&gt;*[CONTOH]*")</f>
        <v/>
      </c>
      <c r="H22" s="39">
        <f>E22+F22+G22</f>
        <v/>
      </c>
      <c r="I22" s="39">
        <f>D22-H22</f>
        <v/>
      </c>
      <c r="J22" s="39">
        <f>SUMIFS(Transaksi!$J$5:$J$1004,Transaksi!$D$5:$D$1004,"Masuk",Transaksi!$B$5:$B$1004,"&lt;"&amp;DATE($B$20,2,1),Transaksi!$M$5:$M$1004,"Terverifikasi",Transaksi!$H$5:$H$1004,"&lt;&gt;*[CONTOH]*")-SUMIFS(Transaksi!$J$5:$J$1004,Transaksi!$D$5:$D$1004,"Keluar",Transaksi!$B$5:$B$1004,"&lt;"&amp;DATE($B$20,2,1),Transaksi!$M$5:$M$1004,"Terverifikasi",Transaksi!$H$5:$H$1004,"&lt;&gt;*[CONTOH]*")</f>
        <v/>
      </c>
    </row>
    <row r="23" ht="15" customHeight="1" s="33">
      <c r="A23" s="38" t="inlineStr">
        <is>
          <t>Februari</t>
        </is>
      </c>
      <c r="B23" s="39">
        <f>SUMIFS(Transaksi!$J$5:$J$1004,Transaksi!$F$5:$F$1004,"Pendapatan Usaha",Transaksi!$B$5:$B$1004,"&gt;="&amp;DATE($B$20,2,1),Transaksi!$B$5:$B$1004,"&lt;"&amp;DATE($B$20,3,1),Transaksi!$M$5:$M$1004,"Terverifikasi",Transaksi!$H$5:$H$1004,"&lt;&gt;*[CONTOH]*")</f>
        <v/>
      </c>
      <c r="C23" s="39">
        <f>SUMIFS(Transaksi!$J$5:$J$1004,Transaksi!$F$5:$F$1004,"Pendanaan &amp; Modal",Transaksi!$B$5:$B$1004,"&gt;="&amp;DATE($B$20,2,1),Transaksi!$B$5:$B$1004,"&lt;"&amp;DATE($B$20,3,1),Transaksi!$M$5:$M$1004,"Terverifikasi",Transaksi!$H$5:$H$1004,"&lt;&gt;*[CONTOH]*")</f>
        <v/>
      </c>
      <c r="D23" s="39">
        <f>B23+C23</f>
        <v/>
      </c>
      <c r="E23" s="39">
        <f>SUMIFS(Transaksi!$J$5:$J$1004,Transaksi!$F$5:$F$1004,"Biaya Proyek",Transaksi!$B$5:$B$1004,"&gt;="&amp;DATE($B$20,2,1),Transaksi!$B$5:$B$1004,"&lt;"&amp;DATE($B$20,3,1),Transaksi!$M$5:$M$1004,"Terverifikasi",Transaksi!$H$5:$H$1004,"&lt;&gt;*[CONTOH]*")</f>
        <v/>
      </c>
      <c r="F23" s="39">
        <f>SUMIFS(Transaksi!$J$5:$J$1004,Transaksi!$F$5:$F$1004,"Biaya Operasional",Transaksi!$B$5:$B$1004,"&gt;="&amp;DATE($B$20,2,1),Transaksi!$B$5:$B$1004,"&lt;"&amp;DATE($B$20,3,1),Transaksi!$M$5:$M$1004,"Terverifikasi",Transaksi!$H$5:$H$1004,"&lt;&gt;*[CONTOH]*")</f>
        <v/>
      </c>
      <c r="G23" s="39">
        <f>SUMIFS(Transaksi!$J$5:$J$1004,Transaksi!$F$5:$F$1004,"Pajak",Transaksi!$B$5:$B$1004,"&gt;="&amp;DATE($B$20,2,1),Transaksi!$B$5:$B$1004,"&lt;"&amp;DATE($B$20,3,1),Transaksi!$M$5:$M$1004,"Terverifikasi",Transaksi!$H$5:$H$1004,"&lt;&gt;*[CONTOH]*")</f>
        <v/>
      </c>
      <c r="H23" s="39">
        <f>E23+F23+G23</f>
        <v/>
      </c>
      <c r="I23" s="39">
        <f>D23-H23</f>
        <v/>
      </c>
      <c r="J23" s="39">
        <f>SUMIFS(Transaksi!$J$5:$J$1004,Transaksi!$D$5:$D$1004,"Masuk",Transaksi!$B$5:$B$1004,"&lt;"&amp;DATE($B$20,3,1),Transaksi!$M$5:$M$1004,"Terverifikasi",Transaksi!$H$5:$H$1004,"&lt;&gt;*[CONTOH]*")-SUMIFS(Transaksi!$J$5:$J$1004,Transaksi!$D$5:$D$1004,"Keluar",Transaksi!$B$5:$B$1004,"&lt;"&amp;DATE($B$20,3,1),Transaksi!$M$5:$M$1004,"Terverifikasi",Transaksi!$H$5:$H$1004,"&lt;&gt;*[CONTOH]*")</f>
        <v/>
      </c>
    </row>
    <row r="24" ht="15" customHeight="1" s="33">
      <c r="A24" s="38" t="inlineStr">
        <is>
          <t>Maret</t>
        </is>
      </c>
      <c r="B24" s="39">
        <f>SUMIFS(Transaksi!$J$5:$J$1004,Transaksi!$F$5:$F$1004,"Pendapatan Usaha",Transaksi!$B$5:$B$1004,"&gt;="&amp;DATE($B$20,3,1),Transaksi!$B$5:$B$1004,"&lt;"&amp;DATE($B$20,4,1),Transaksi!$M$5:$M$1004,"Terverifikasi",Transaksi!$H$5:$H$1004,"&lt;&gt;*[CONTOH]*")</f>
        <v/>
      </c>
      <c r="C24" s="39">
        <f>SUMIFS(Transaksi!$J$5:$J$1004,Transaksi!$F$5:$F$1004,"Pendanaan &amp; Modal",Transaksi!$B$5:$B$1004,"&gt;="&amp;DATE($B$20,3,1),Transaksi!$B$5:$B$1004,"&lt;"&amp;DATE($B$20,4,1),Transaksi!$M$5:$M$1004,"Terverifikasi",Transaksi!$H$5:$H$1004,"&lt;&gt;*[CONTOH]*")</f>
        <v/>
      </c>
      <c r="D24" s="39">
        <f>B24+C24</f>
        <v/>
      </c>
      <c r="E24" s="39">
        <f>SUMIFS(Transaksi!$J$5:$J$1004,Transaksi!$F$5:$F$1004,"Biaya Proyek",Transaksi!$B$5:$B$1004,"&gt;="&amp;DATE($B$20,3,1),Transaksi!$B$5:$B$1004,"&lt;"&amp;DATE($B$20,4,1),Transaksi!$M$5:$M$1004,"Terverifikasi",Transaksi!$H$5:$H$1004,"&lt;&gt;*[CONTOH]*")</f>
        <v/>
      </c>
      <c r="F24" s="39">
        <f>SUMIFS(Transaksi!$J$5:$J$1004,Transaksi!$F$5:$F$1004,"Biaya Operasional",Transaksi!$B$5:$B$1004,"&gt;="&amp;DATE($B$20,3,1),Transaksi!$B$5:$B$1004,"&lt;"&amp;DATE($B$20,4,1),Transaksi!$M$5:$M$1004,"Terverifikasi",Transaksi!$H$5:$H$1004,"&lt;&gt;*[CONTOH]*")</f>
        <v/>
      </c>
      <c r="G24" s="39">
        <f>SUMIFS(Transaksi!$J$5:$J$1004,Transaksi!$F$5:$F$1004,"Pajak",Transaksi!$B$5:$B$1004,"&gt;="&amp;DATE($B$20,3,1),Transaksi!$B$5:$B$1004,"&lt;"&amp;DATE($B$20,4,1),Transaksi!$M$5:$M$1004,"Terverifikasi",Transaksi!$H$5:$H$1004,"&lt;&gt;*[CONTOH]*")</f>
        <v/>
      </c>
      <c r="H24" s="39">
        <f>E24+F24+G24</f>
        <v/>
      </c>
      <c r="I24" s="39">
        <f>D24-H24</f>
        <v/>
      </c>
      <c r="J24" s="39">
        <f>SUMIFS(Transaksi!$J$5:$J$1004,Transaksi!$D$5:$D$1004,"Masuk",Transaksi!$B$5:$B$1004,"&lt;"&amp;DATE($B$20,4,1),Transaksi!$M$5:$M$1004,"Terverifikasi",Transaksi!$H$5:$H$1004,"&lt;&gt;*[CONTOH]*")-SUMIFS(Transaksi!$J$5:$J$1004,Transaksi!$D$5:$D$1004,"Keluar",Transaksi!$B$5:$B$1004,"&lt;"&amp;DATE($B$20,4,1),Transaksi!$M$5:$M$1004,"Terverifikasi",Transaksi!$H$5:$H$1004,"&lt;&gt;*[CONTOH]*")</f>
        <v/>
      </c>
    </row>
    <row r="25" ht="15" customHeight="1" s="33">
      <c r="A25" s="38" t="inlineStr">
        <is>
          <t>April</t>
        </is>
      </c>
      <c r="B25" s="39">
        <f>SUMIFS(Transaksi!$J$5:$J$1004,Transaksi!$F$5:$F$1004,"Pendapatan Usaha",Transaksi!$B$5:$B$1004,"&gt;="&amp;DATE($B$20,4,1),Transaksi!$B$5:$B$1004,"&lt;"&amp;DATE($B$20,5,1),Transaksi!$M$5:$M$1004,"Terverifikasi",Transaksi!$H$5:$H$1004,"&lt;&gt;*[CONTOH]*")</f>
        <v/>
      </c>
      <c r="C25" s="39">
        <f>SUMIFS(Transaksi!$J$5:$J$1004,Transaksi!$F$5:$F$1004,"Pendanaan &amp; Modal",Transaksi!$B$5:$B$1004,"&gt;="&amp;DATE($B$20,4,1),Transaksi!$B$5:$B$1004,"&lt;"&amp;DATE($B$20,5,1),Transaksi!$M$5:$M$1004,"Terverifikasi",Transaksi!$H$5:$H$1004,"&lt;&gt;*[CONTOH]*")</f>
        <v/>
      </c>
      <c r="D25" s="39">
        <f>B25+C25</f>
        <v/>
      </c>
      <c r="E25" s="39">
        <f>SUMIFS(Transaksi!$J$5:$J$1004,Transaksi!$F$5:$F$1004,"Biaya Proyek",Transaksi!$B$5:$B$1004,"&gt;="&amp;DATE($B$20,4,1),Transaksi!$B$5:$B$1004,"&lt;"&amp;DATE($B$20,5,1),Transaksi!$M$5:$M$1004,"Terverifikasi",Transaksi!$H$5:$H$1004,"&lt;&gt;*[CONTOH]*")</f>
        <v/>
      </c>
      <c r="F25" s="39">
        <f>SUMIFS(Transaksi!$J$5:$J$1004,Transaksi!$F$5:$F$1004,"Biaya Operasional",Transaksi!$B$5:$B$1004,"&gt;="&amp;DATE($B$20,4,1),Transaksi!$B$5:$B$1004,"&lt;"&amp;DATE($B$20,5,1),Transaksi!$M$5:$M$1004,"Terverifikasi",Transaksi!$H$5:$H$1004,"&lt;&gt;*[CONTOH]*")</f>
        <v/>
      </c>
      <c r="G25" s="39">
        <f>SUMIFS(Transaksi!$J$5:$J$1004,Transaksi!$F$5:$F$1004,"Pajak",Transaksi!$B$5:$B$1004,"&gt;="&amp;DATE($B$20,4,1),Transaksi!$B$5:$B$1004,"&lt;"&amp;DATE($B$20,5,1),Transaksi!$M$5:$M$1004,"Terverifikasi",Transaksi!$H$5:$H$1004,"&lt;&gt;*[CONTOH]*")</f>
        <v/>
      </c>
      <c r="H25" s="39">
        <f>E25+F25+G25</f>
        <v/>
      </c>
      <c r="I25" s="39">
        <f>D25-H25</f>
        <v/>
      </c>
      <c r="J25" s="39">
        <f>SUMIFS(Transaksi!$J$5:$J$1004,Transaksi!$D$5:$D$1004,"Masuk",Transaksi!$B$5:$B$1004,"&lt;"&amp;DATE($B$20,5,1),Transaksi!$M$5:$M$1004,"Terverifikasi",Transaksi!$H$5:$H$1004,"&lt;&gt;*[CONTOH]*")-SUMIFS(Transaksi!$J$5:$J$1004,Transaksi!$D$5:$D$1004,"Keluar",Transaksi!$B$5:$B$1004,"&lt;"&amp;DATE($B$20,5,1),Transaksi!$M$5:$M$1004,"Terverifikasi",Transaksi!$H$5:$H$1004,"&lt;&gt;*[CONTOH]*")</f>
        <v/>
      </c>
    </row>
    <row r="26" ht="15" customHeight="1" s="33">
      <c r="A26" s="38" t="inlineStr">
        <is>
          <t>Mei</t>
        </is>
      </c>
      <c r="B26" s="39">
        <f>SUMIFS(Transaksi!$J$5:$J$1004,Transaksi!$F$5:$F$1004,"Pendapatan Usaha",Transaksi!$B$5:$B$1004,"&gt;="&amp;DATE($B$20,5,1),Transaksi!$B$5:$B$1004,"&lt;"&amp;DATE($B$20,6,1),Transaksi!$M$5:$M$1004,"Terverifikasi",Transaksi!$H$5:$H$1004,"&lt;&gt;*[CONTOH]*")</f>
        <v/>
      </c>
      <c r="C26" s="39">
        <f>SUMIFS(Transaksi!$J$5:$J$1004,Transaksi!$F$5:$F$1004,"Pendanaan &amp; Modal",Transaksi!$B$5:$B$1004,"&gt;="&amp;DATE($B$20,5,1),Transaksi!$B$5:$B$1004,"&lt;"&amp;DATE($B$20,6,1),Transaksi!$M$5:$M$1004,"Terverifikasi",Transaksi!$H$5:$H$1004,"&lt;&gt;*[CONTOH]*")</f>
        <v/>
      </c>
      <c r="D26" s="39">
        <f>B26+C26</f>
        <v/>
      </c>
      <c r="E26" s="39">
        <f>SUMIFS(Transaksi!$J$5:$J$1004,Transaksi!$F$5:$F$1004,"Biaya Proyek",Transaksi!$B$5:$B$1004,"&gt;="&amp;DATE($B$20,5,1),Transaksi!$B$5:$B$1004,"&lt;"&amp;DATE($B$20,6,1),Transaksi!$M$5:$M$1004,"Terverifikasi",Transaksi!$H$5:$H$1004,"&lt;&gt;*[CONTOH]*")</f>
        <v/>
      </c>
      <c r="F26" s="39">
        <f>SUMIFS(Transaksi!$J$5:$J$1004,Transaksi!$F$5:$F$1004,"Biaya Operasional",Transaksi!$B$5:$B$1004,"&gt;="&amp;DATE($B$20,5,1),Transaksi!$B$5:$B$1004,"&lt;"&amp;DATE($B$20,6,1),Transaksi!$M$5:$M$1004,"Terverifikasi",Transaksi!$H$5:$H$1004,"&lt;&gt;*[CONTOH]*")</f>
        <v/>
      </c>
      <c r="G26" s="39">
        <f>SUMIFS(Transaksi!$J$5:$J$1004,Transaksi!$F$5:$F$1004,"Pajak",Transaksi!$B$5:$B$1004,"&gt;="&amp;DATE($B$20,5,1),Transaksi!$B$5:$B$1004,"&lt;"&amp;DATE($B$20,6,1),Transaksi!$M$5:$M$1004,"Terverifikasi",Transaksi!$H$5:$H$1004,"&lt;&gt;*[CONTOH]*")</f>
        <v/>
      </c>
      <c r="H26" s="39">
        <f>E26+F26+G26</f>
        <v/>
      </c>
      <c r="I26" s="39">
        <f>D26-H26</f>
        <v/>
      </c>
      <c r="J26" s="39">
        <f>SUMIFS(Transaksi!$J$5:$J$1004,Transaksi!$D$5:$D$1004,"Masuk",Transaksi!$B$5:$B$1004,"&lt;"&amp;DATE($B$20,6,1),Transaksi!$M$5:$M$1004,"Terverifikasi",Transaksi!$H$5:$H$1004,"&lt;&gt;*[CONTOH]*")-SUMIFS(Transaksi!$J$5:$J$1004,Transaksi!$D$5:$D$1004,"Keluar",Transaksi!$B$5:$B$1004,"&lt;"&amp;DATE($B$20,6,1),Transaksi!$M$5:$M$1004,"Terverifikasi",Transaksi!$H$5:$H$1004,"&lt;&gt;*[CONTOH]*")</f>
        <v/>
      </c>
    </row>
    <row r="27" ht="15" customHeight="1" s="33">
      <c r="A27" s="38" t="inlineStr">
        <is>
          <t>Juni</t>
        </is>
      </c>
      <c r="B27" s="39">
        <f>SUMIFS(Transaksi!$J$5:$J$1004,Transaksi!$F$5:$F$1004,"Pendapatan Usaha",Transaksi!$B$5:$B$1004,"&gt;="&amp;DATE($B$20,6,1),Transaksi!$B$5:$B$1004,"&lt;"&amp;DATE($B$20,7,1),Transaksi!$M$5:$M$1004,"Terverifikasi",Transaksi!$H$5:$H$1004,"&lt;&gt;*[CONTOH]*")</f>
        <v/>
      </c>
      <c r="C27" s="39">
        <f>SUMIFS(Transaksi!$J$5:$J$1004,Transaksi!$F$5:$F$1004,"Pendanaan &amp; Modal",Transaksi!$B$5:$B$1004,"&gt;="&amp;DATE($B$20,6,1),Transaksi!$B$5:$B$1004,"&lt;"&amp;DATE($B$20,7,1),Transaksi!$M$5:$M$1004,"Terverifikasi",Transaksi!$H$5:$H$1004,"&lt;&gt;*[CONTOH]*")</f>
        <v/>
      </c>
      <c r="D27" s="39">
        <f>B27+C27</f>
        <v/>
      </c>
      <c r="E27" s="39">
        <f>SUMIFS(Transaksi!$J$5:$J$1004,Transaksi!$F$5:$F$1004,"Biaya Proyek",Transaksi!$B$5:$B$1004,"&gt;="&amp;DATE($B$20,6,1),Transaksi!$B$5:$B$1004,"&lt;"&amp;DATE($B$20,7,1),Transaksi!$M$5:$M$1004,"Terverifikasi",Transaksi!$H$5:$H$1004,"&lt;&gt;*[CONTOH]*")</f>
        <v/>
      </c>
      <c r="F27" s="39">
        <f>SUMIFS(Transaksi!$J$5:$J$1004,Transaksi!$F$5:$F$1004,"Biaya Operasional",Transaksi!$B$5:$B$1004,"&gt;="&amp;DATE($B$20,6,1),Transaksi!$B$5:$B$1004,"&lt;"&amp;DATE($B$20,7,1),Transaksi!$M$5:$M$1004,"Terverifikasi",Transaksi!$H$5:$H$1004,"&lt;&gt;*[CONTOH]*")</f>
        <v/>
      </c>
      <c r="G27" s="39">
        <f>SUMIFS(Transaksi!$J$5:$J$1004,Transaksi!$F$5:$F$1004,"Pajak",Transaksi!$B$5:$B$1004,"&gt;="&amp;DATE($B$20,6,1),Transaksi!$B$5:$B$1004,"&lt;"&amp;DATE($B$20,7,1),Transaksi!$M$5:$M$1004,"Terverifikasi",Transaksi!$H$5:$H$1004,"&lt;&gt;*[CONTOH]*")</f>
        <v/>
      </c>
      <c r="H27" s="39">
        <f>E27+F27+G27</f>
        <v/>
      </c>
      <c r="I27" s="39">
        <f>D27-H27</f>
        <v/>
      </c>
      <c r="J27" s="39">
        <f>SUMIFS(Transaksi!$J$5:$J$1004,Transaksi!$D$5:$D$1004,"Masuk",Transaksi!$B$5:$B$1004,"&lt;"&amp;DATE($B$20,7,1),Transaksi!$M$5:$M$1004,"Terverifikasi",Transaksi!$H$5:$H$1004,"&lt;&gt;*[CONTOH]*")-SUMIFS(Transaksi!$J$5:$J$1004,Transaksi!$D$5:$D$1004,"Keluar",Transaksi!$B$5:$B$1004,"&lt;"&amp;DATE($B$20,7,1),Transaksi!$M$5:$M$1004,"Terverifikasi",Transaksi!$H$5:$H$1004,"&lt;&gt;*[CONTOH]*")</f>
        <v/>
      </c>
    </row>
    <row r="28" ht="15" customHeight="1" s="33">
      <c r="A28" s="38" t="inlineStr">
        <is>
          <t>Juli</t>
        </is>
      </c>
      <c r="B28" s="39">
        <f>SUMIFS(Transaksi!$J$5:$J$1004,Transaksi!$F$5:$F$1004,"Pendapatan Usaha",Transaksi!$B$5:$B$1004,"&gt;="&amp;DATE($B$20,7,1),Transaksi!$B$5:$B$1004,"&lt;"&amp;DATE($B$20,8,1),Transaksi!$M$5:$M$1004,"Terverifikasi",Transaksi!$H$5:$H$1004,"&lt;&gt;*[CONTOH]*")</f>
        <v/>
      </c>
      <c r="C28" s="39">
        <f>SUMIFS(Transaksi!$J$5:$J$1004,Transaksi!$F$5:$F$1004,"Pendanaan &amp; Modal",Transaksi!$B$5:$B$1004,"&gt;="&amp;DATE($B$20,7,1),Transaksi!$B$5:$B$1004,"&lt;"&amp;DATE($B$20,8,1),Transaksi!$M$5:$M$1004,"Terverifikasi",Transaksi!$H$5:$H$1004,"&lt;&gt;*[CONTOH]*")</f>
        <v/>
      </c>
      <c r="D28" s="39">
        <f>B28+C28</f>
        <v/>
      </c>
      <c r="E28" s="39">
        <f>SUMIFS(Transaksi!$J$5:$J$1004,Transaksi!$F$5:$F$1004,"Biaya Proyek",Transaksi!$B$5:$B$1004,"&gt;="&amp;DATE($B$20,7,1),Transaksi!$B$5:$B$1004,"&lt;"&amp;DATE($B$20,8,1),Transaksi!$M$5:$M$1004,"Terverifikasi",Transaksi!$H$5:$H$1004,"&lt;&gt;*[CONTOH]*")</f>
        <v/>
      </c>
      <c r="F28" s="39">
        <f>SUMIFS(Transaksi!$J$5:$J$1004,Transaksi!$F$5:$F$1004,"Biaya Operasional",Transaksi!$B$5:$B$1004,"&gt;="&amp;DATE($B$20,7,1),Transaksi!$B$5:$B$1004,"&lt;"&amp;DATE($B$20,8,1),Transaksi!$M$5:$M$1004,"Terverifikasi",Transaksi!$H$5:$H$1004,"&lt;&gt;*[CONTOH]*")</f>
        <v/>
      </c>
      <c r="G28" s="39">
        <f>SUMIFS(Transaksi!$J$5:$J$1004,Transaksi!$F$5:$F$1004,"Pajak",Transaksi!$B$5:$B$1004,"&gt;="&amp;DATE($B$20,7,1),Transaksi!$B$5:$B$1004,"&lt;"&amp;DATE($B$20,8,1),Transaksi!$M$5:$M$1004,"Terverifikasi",Transaksi!$H$5:$H$1004,"&lt;&gt;*[CONTOH]*")</f>
        <v/>
      </c>
      <c r="H28" s="39">
        <f>E28+F28+G28</f>
        <v/>
      </c>
      <c r="I28" s="39">
        <f>D28-H28</f>
        <v/>
      </c>
      <c r="J28" s="39">
        <f>SUMIFS(Transaksi!$J$5:$J$1004,Transaksi!$D$5:$D$1004,"Masuk",Transaksi!$B$5:$B$1004,"&lt;"&amp;DATE($B$20,8,1),Transaksi!$M$5:$M$1004,"Terverifikasi",Transaksi!$H$5:$H$1004,"&lt;&gt;*[CONTOH]*")-SUMIFS(Transaksi!$J$5:$J$1004,Transaksi!$D$5:$D$1004,"Keluar",Transaksi!$B$5:$B$1004,"&lt;"&amp;DATE($B$20,8,1),Transaksi!$M$5:$M$1004,"Terverifikasi",Transaksi!$H$5:$H$1004,"&lt;&gt;*[CONTOH]*")</f>
        <v/>
      </c>
    </row>
    <row r="29" ht="15" customHeight="1" s="33">
      <c r="A29" s="38" t="inlineStr">
        <is>
          <t>Agustus</t>
        </is>
      </c>
      <c r="B29" s="39">
        <f>SUMIFS(Transaksi!$J$5:$J$1004,Transaksi!$F$5:$F$1004,"Pendapatan Usaha",Transaksi!$B$5:$B$1004,"&gt;="&amp;DATE($B$20,8,1),Transaksi!$B$5:$B$1004,"&lt;"&amp;DATE($B$20,9,1),Transaksi!$M$5:$M$1004,"Terverifikasi",Transaksi!$H$5:$H$1004,"&lt;&gt;*[CONTOH]*")</f>
        <v/>
      </c>
      <c r="C29" s="39">
        <f>SUMIFS(Transaksi!$J$5:$J$1004,Transaksi!$F$5:$F$1004,"Pendanaan &amp; Modal",Transaksi!$B$5:$B$1004,"&gt;="&amp;DATE($B$20,8,1),Transaksi!$B$5:$B$1004,"&lt;"&amp;DATE($B$20,9,1),Transaksi!$M$5:$M$1004,"Terverifikasi",Transaksi!$H$5:$H$1004,"&lt;&gt;*[CONTOH]*")</f>
        <v/>
      </c>
      <c r="D29" s="39">
        <f>B29+C29</f>
        <v/>
      </c>
      <c r="E29" s="39">
        <f>SUMIFS(Transaksi!$J$5:$J$1004,Transaksi!$F$5:$F$1004,"Biaya Proyek",Transaksi!$B$5:$B$1004,"&gt;="&amp;DATE($B$20,8,1),Transaksi!$B$5:$B$1004,"&lt;"&amp;DATE($B$20,9,1),Transaksi!$M$5:$M$1004,"Terverifikasi",Transaksi!$H$5:$H$1004,"&lt;&gt;*[CONTOH]*")</f>
        <v/>
      </c>
      <c r="F29" s="39">
        <f>SUMIFS(Transaksi!$J$5:$J$1004,Transaksi!$F$5:$F$1004,"Biaya Operasional",Transaksi!$B$5:$B$1004,"&gt;="&amp;DATE($B$20,8,1),Transaksi!$B$5:$B$1004,"&lt;"&amp;DATE($B$20,9,1),Transaksi!$M$5:$M$1004,"Terverifikasi",Transaksi!$H$5:$H$1004,"&lt;&gt;*[CONTOH]*")</f>
        <v/>
      </c>
      <c r="G29" s="39">
        <f>SUMIFS(Transaksi!$J$5:$J$1004,Transaksi!$F$5:$F$1004,"Pajak",Transaksi!$B$5:$B$1004,"&gt;="&amp;DATE($B$20,8,1),Transaksi!$B$5:$B$1004,"&lt;"&amp;DATE($B$20,9,1),Transaksi!$M$5:$M$1004,"Terverifikasi",Transaksi!$H$5:$H$1004,"&lt;&gt;*[CONTOH]*")</f>
        <v/>
      </c>
      <c r="H29" s="39">
        <f>E29+F29+G29</f>
        <v/>
      </c>
      <c r="I29" s="39">
        <f>D29-H29</f>
        <v/>
      </c>
      <c r="J29" s="39">
        <f>SUMIFS(Transaksi!$J$5:$J$1004,Transaksi!$D$5:$D$1004,"Masuk",Transaksi!$B$5:$B$1004,"&lt;"&amp;DATE($B$20,9,1),Transaksi!$M$5:$M$1004,"Terverifikasi",Transaksi!$H$5:$H$1004,"&lt;&gt;*[CONTOH]*")-SUMIFS(Transaksi!$J$5:$J$1004,Transaksi!$D$5:$D$1004,"Keluar",Transaksi!$B$5:$B$1004,"&lt;"&amp;DATE($B$20,9,1),Transaksi!$M$5:$M$1004,"Terverifikasi",Transaksi!$H$5:$H$1004,"&lt;&gt;*[CONTOH]*")</f>
        <v/>
      </c>
    </row>
    <row r="30" ht="15" customHeight="1" s="33">
      <c r="A30" s="38" t="inlineStr">
        <is>
          <t>September</t>
        </is>
      </c>
      <c r="B30" s="39">
        <f>SUMIFS(Transaksi!$J$5:$J$1004,Transaksi!$F$5:$F$1004,"Pendapatan Usaha",Transaksi!$B$5:$B$1004,"&gt;="&amp;DATE($B$20,9,1),Transaksi!$B$5:$B$1004,"&lt;"&amp;DATE($B$20,10,1),Transaksi!$M$5:$M$1004,"Terverifikasi",Transaksi!$H$5:$H$1004,"&lt;&gt;*[CONTOH]*")</f>
        <v/>
      </c>
      <c r="C30" s="39">
        <f>SUMIFS(Transaksi!$J$5:$J$1004,Transaksi!$F$5:$F$1004,"Pendanaan &amp; Modal",Transaksi!$B$5:$B$1004,"&gt;="&amp;DATE($B$20,9,1),Transaksi!$B$5:$B$1004,"&lt;"&amp;DATE($B$20,10,1),Transaksi!$M$5:$M$1004,"Terverifikasi",Transaksi!$H$5:$H$1004,"&lt;&gt;*[CONTOH]*")</f>
        <v/>
      </c>
      <c r="D30" s="39">
        <f>B30+C30</f>
        <v/>
      </c>
      <c r="E30" s="39">
        <f>SUMIFS(Transaksi!$J$5:$J$1004,Transaksi!$F$5:$F$1004,"Biaya Proyek",Transaksi!$B$5:$B$1004,"&gt;="&amp;DATE($B$20,9,1),Transaksi!$B$5:$B$1004,"&lt;"&amp;DATE($B$20,10,1),Transaksi!$M$5:$M$1004,"Terverifikasi",Transaksi!$H$5:$H$1004,"&lt;&gt;*[CONTOH]*")</f>
        <v/>
      </c>
      <c r="F30" s="39">
        <f>SUMIFS(Transaksi!$J$5:$J$1004,Transaksi!$F$5:$F$1004,"Biaya Operasional",Transaksi!$B$5:$B$1004,"&gt;="&amp;DATE($B$20,9,1),Transaksi!$B$5:$B$1004,"&lt;"&amp;DATE($B$20,10,1),Transaksi!$M$5:$M$1004,"Terverifikasi",Transaksi!$H$5:$H$1004,"&lt;&gt;*[CONTOH]*")</f>
        <v/>
      </c>
      <c r="G30" s="39">
        <f>SUMIFS(Transaksi!$J$5:$J$1004,Transaksi!$F$5:$F$1004,"Pajak",Transaksi!$B$5:$B$1004,"&gt;="&amp;DATE($B$20,9,1),Transaksi!$B$5:$B$1004,"&lt;"&amp;DATE($B$20,10,1),Transaksi!$M$5:$M$1004,"Terverifikasi",Transaksi!$H$5:$H$1004,"&lt;&gt;*[CONTOH]*")</f>
        <v/>
      </c>
      <c r="H30" s="39">
        <f>E30+F30+G30</f>
        <v/>
      </c>
      <c r="I30" s="39">
        <f>D30-H30</f>
        <v/>
      </c>
      <c r="J30" s="39">
        <f>SUMIFS(Transaksi!$J$5:$J$1004,Transaksi!$D$5:$D$1004,"Masuk",Transaksi!$B$5:$B$1004,"&lt;"&amp;DATE($B$20,10,1),Transaksi!$M$5:$M$1004,"Terverifikasi",Transaksi!$H$5:$H$1004,"&lt;&gt;*[CONTOH]*")-SUMIFS(Transaksi!$J$5:$J$1004,Transaksi!$D$5:$D$1004,"Keluar",Transaksi!$B$5:$B$1004,"&lt;"&amp;DATE($B$20,10,1),Transaksi!$M$5:$M$1004,"Terverifikasi",Transaksi!$H$5:$H$1004,"&lt;&gt;*[CONTOH]*")</f>
        <v/>
      </c>
    </row>
    <row r="31" ht="15" customHeight="1" s="33">
      <c r="A31" s="38" t="inlineStr">
        <is>
          <t>Oktober</t>
        </is>
      </c>
      <c r="B31" s="39">
        <f>SUMIFS(Transaksi!$J$5:$J$1004,Transaksi!$F$5:$F$1004,"Pendapatan Usaha",Transaksi!$B$5:$B$1004,"&gt;="&amp;DATE($B$20,10,1),Transaksi!$B$5:$B$1004,"&lt;"&amp;DATE($B$20,11,1),Transaksi!$M$5:$M$1004,"Terverifikasi",Transaksi!$H$5:$H$1004,"&lt;&gt;*[CONTOH]*")</f>
        <v/>
      </c>
      <c r="C31" s="39">
        <f>SUMIFS(Transaksi!$J$5:$J$1004,Transaksi!$F$5:$F$1004,"Pendanaan &amp; Modal",Transaksi!$B$5:$B$1004,"&gt;="&amp;DATE($B$20,10,1),Transaksi!$B$5:$B$1004,"&lt;"&amp;DATE($B$20,11,1),Transaksi!$M$5:$M$1004,"Terverifikasi",Transaksi!$H$5:$H$1004,"&lt;&gt;*[CONTOH]*")</f>
        <v/>
      </c>
      <c r="D31" s="39">
        <f>B31+C31</f>
        <v/>
      </c>
      <c r="E31" s="39">
        <f>SUMIFS(Transaksi!$J$5:$J$1004,Transaksi!$F$5:$F$1004,"Biaya Proyek",Transaksi!$B$5:$B$1004,"&gt;="&amp;DATE($B$20,10,1),Transaksi!$B$5:$B$1004,"&lt;"&amp;DATE($B$20,11,1),Transaksi!$M$5:$M$1004,"Terverifikasi",Transaksi!$H$5:$H$1004,"&lt;&gt;*[CONTOH]*")</f>
        <v/>
      </c>
      <c r="F31" s="39">
        <f>SUMIFS(Transaksi!$J$5:$J$1004,Transaksi!$F$5:$F$1004,"Biaya Operasional",Transaksi!$B$5:$B$1004,"&gt;="&amp;DATE($B$20,10,1),Transaksi!$B$5:$B$1004,"&lt;"&amp;DATE($B$20,11,1),Transaksi!$M$5:$M$1004,"Terverifikasi",Transaksi!$H$5:$H$1004,"&lt;&gt;*[CONTOH]*")</f>
        <v/>
      </c>
      <c r="G31" s="39">
        <f>SUMIFS(Transaksi!$J$5:$J$1004,Transaksi!$F$5:$F$1004,"Pajak",Transaksi!$B$5:$B$1004,"&gt;="&amp;DATE($B$20,10,1),Transaksi!$B$5:$B$1004,"&lt;"&amp;DATE($B$20,11,1),Transaksi!$M$5:$M$1004,"Terverifikasi",Transaksi!$H$5:$H$1004,"&lt;&gt;*[CONTOH]*")</f>
        <v/>
      </c>
      <c r="H31" s="39">
        <f>E31+F31+G31</f>
        <v/>
      </c>
      <c r="I31" s="39">
        <f>D31-H31</f>
        <v/>
      </c>
      <c r="J31" s="39">
        <f>SUMIFS(Transaksi!$J$5:$J$1004,Transaksi!$D$5:$D$1004,"Masuk",Transaksi!$B$5:$B$1004,"&lt;"&amp;DATE($B$20,11,1),Transaksi!$M$5:$M$1004,"Terverifikasi",Transaksi!$H$5:$H$1004,"&lt;&gt;*[CONTOH]*")-SUMIFS(Transaksi!$J$5:$J$1004,Transaksi!$D$5:$D$1004,"Keluar",Transaksi!$B$5:$B$1004,"&lt;"&amp;DATE($B$20,11,1),Transaksi!$M$5:$M$1004,"Terverifikasi",Transaksi!$H$5:$H$1004,"&lt;&gt;*[CONTOH]*")</f>
        <v/>
      </c>
    </row>
    <row r="32" ht="15" customHeight="1" s="33">
      <c r="A32" s="38" t="inlineStr">
        <is>
          <t>November</t>
        </is>
      </c>
      <c r="B32" s="39">
        <f>SUMIFS(Transaksi!$J$5:$J$1004,Transaksi!$F$5:$F$1004,"Pendapatan Usaha",Transaksi!$B$5:$B$1004,"&gt;="&amp;DATE($B$20,11,1),Transaksi!$B$5:$B$1004,"&lt;"&amp;DATE($B$20,12,1),Transaksi!$M$5:$M$1004,"Terverifikasi",Transaksi!$H$5:$H$1004,"&lt;&gt;*[CONTOH]*")</f>
        <v/>
      </c>
      <c r="C32" s="39">
        <f>SUMIFS(Transaksi!$J$5:$J$1004,Transaksi!$F$5:$F$1004,"Pendanaan &amp; Modal",Transaksi!$B$5:$B$1004,"&gt;="&amp;DATE($B$20,11,1),Transaksi!$B$5:$B$1004,"&lt;"&amp;DATE($B$20,12,1),Transaksi!$M$5:$M$1004,"Terverifikasi",Transaksi!$H$5:$H$1004,"&lt;&gt;*[CONTOH]*")</f>
        <v/>
      </c>
      <c r="D32" s="39">
        <f>B32+C32</f>
        <v/>
      </c>
      <c r="E32" s="39">
        <f>SUMIFS(Transaksi!$J$5:$J$1004,Transaksi!$F$5:$F$1004,"Biaya Proyek",Transaksi!$B$5:$B$1004,"&gt;="&amp;DATE($B$20,11,1),Transaksi!$B$5:$B$1004,"&lt;"&amp;DATE($B$20,12,1),Transaksi!$M$5:$M$1004,"Terverifikasi",Transaksi!$H$5:$H$1004,"&lt;&gt;*[CONTOH]*")</f>
        <v/>
      </c>
      <c r="F32" s="39">
        <f>SUMIFS(Transaksi!$J$5:$J$1004,Transaksi!$F$5:$F$1004,"Biaya Operasional",Transaksi!$B$5:$B$1004,"&gt;="&amp;DATE($B$20,11,1),Transaksi!$B$5:$B$1004,"&lt;"&amp;DATE($B$20,12,1),Transaksi!$M$5:$M$1004,"Terverifikasi",Transaksi!$H$5:$H$1004,"&lt;&gt;*[CONTOH]*")</f>
        <v/>
      </c>
      <c r="G32" s="39">
        <f>SUMIFS(Transaksi!$J$5:$J$1004,Transaksi!$F$5:$F$1004,"Pajak",Transaksi!$B$5:$B$1004,"&gt;="&amp;DATE($B$20,11,1),Transaksi!$B$5:$B$1004,"&lt;"&amp;DATE($B$20,12,1),Transaksi!$M$5:$M$1004,"Terverifikasi",Transaksi!$H$5:$H$1004,"&lt;&gt;*[CONTOH]*")</f>
        <v/>
      </c>
      <c r="H32" s="39">
        <f>E32+F32+G32</f>
        <v/>
      </c>
      <c r="I32" s="39">
        <f>D32-H32</f>
        <v/>
      </c>
      <c r="J32" s="39">
        <f>SUMIFS(Transaksi!$J$5:$J$1004,Transaksi!$D$5:$D$1004,"Masuk",Transaksi!$B$5:$B$1004,"&lt;"&amp;DATE($B$20,12,1),Transaksi!$M$5:$M$1004,"Terverifikasi",Transaksi!$H$5:$H$1004,"&lt;&gt;*[CONTOH]*")-SUMIFS(Transaksi!$J$5:$J$1004,Transaksi!$D$5:$D$1004,"Keluar",Transaksi!$B$5:$B$1004,"&lt;"&amp;DATE($B$20,12,1),Transaksi!$M$5:$M$1004,"Terverifikasi",Transaksi!$H$5:$H$1004,"&lt;&gt;*[CONTOH]*")</f>
        <v/>
      </c>
    </row>
    <row r="33" ht="15" customHeight="1" s="33">
      <c r="A33" s="38" t="inlineStr">
        <is>
          <t>Desember</t>
        </is>
      </c>
      <c r="B33" s="39">
        <f>SUMIFS(Transaksi!$J$5:$J$1004,Transaksi!$F$5:$F$1004,"Pendapatan Usaha",Transaksi!$B$5:$B$1004,"&gt;="&amp;DATE($B$20,12,1),Transaksi!$B$5:$B$1004,"&lt;"&amp;DATE($B$20+1,1,1),Transaksi!$M$5:$M$1004,"Terverifikasi",Transaksi!$H$5:$H$1004,"&lt;&gt;*[CONTOH]*")</f>
        <v/>
      </c>
      <c r="C33" s="39">
        <f>SUMIFS(Transaksi!$J$5:$J$1004,Transaksi!$F$5:$F$1004,"Pendanaan &amp; Modal",Transaksi!$B$5:$B$1004,"&gt;="&amp;DATE($B$20,12,1),Transaksi!$B$5:$B$1004,"&lt;"&amp;DATE($B$20+1,1,1),Transaksi!$M$5:$M$1004,"Terverifikasi",Transaksi!$H$5:$H$1004,"&lt;&gt;*[CONTOH]*")</f>
        <v/>
      </c>
      <c r="D33" s="39">
        <f>B33+C33</f>
        <v/>
      </c>
      <c r="E33" s="39">
        <f>SUMIFS(Transaksi!$J$5:$J$1004,Transaksi!$F$5:$F$1004,"Biaya Proyek",Transaksi!$B$5:$B$1004,"&gt;="&amp;DATE($B$20,12,1),Transaksi!$B$5:$B$1004,"&lt;"&amp;DATE($B$20+1,1,1),Transaksi!$M$5:$M$1004,"Terverifikasi",Transaksi!$H$5:$H$1004,"&lt;&gt;*[CONTOH]*")</f>
        <v/>
      </c>
      <c r="F33" s="39">
        <f>SUMIFS(Transaksi!$J$5:$J$1004,Transaksi!$F$5:$F$1004,"Biaya Operasional",Transaksi!$B$5:$B$1004,"&gt;="&amp;DATE($B$20,12,1),Transaksi!$B$5:$B$1004,"&lt;"&amp;DATE($B$20+1,1,1),Transaksi!$M$5:$M$1004,"Terverifikasi",Transaksi!$H$5:$H$1004,"&lt;&gt;*[CONTOH]*")</f>
        <v/>
      </c>
      <c r="G33" s="39">
        <f>SUMIFS(Transaksi!$J$5:$J$1004,Transaksi!$F$5:$F$1004,"Pajak",Transaksi!$B$5:$B$1004,"&gt;="&amp;DATE($B$20,12,1),Transaksi!$B$5:$B$1004,"&lt;"&amp;DATE($B$20+1,1,1),Transaksi!$M$5:$M$1004,"Terverifikasi",Transaksi!$H$5:$H$1004,"&lt;&gt;*[CONTOH]*")</f>
        <v/>
      </c>
      <c r="H33" s="39">
        <f>E33+F33+G33</f>
        <v/>
      </c>
      <c r="I33" s="39">
        <f>D33-H33</f>
        <v/>
      </c>
      <c r="J33" s="39">
        <f>SUMIFS(Transaksi!$J$5:$J$1004,Transaksi!$D$5:$D$1004,"Masuk",Transaksi!$B$5:$B$1004,"&lt;"&amp;DATE($B$20+1,1,1),Transaksi!$M$5:$M$1004,"Terverifikasi",Transaksi!$H$5:$H$1004,"&lt;&gt;*[CONTOH]*")-SUMIFS(Transaksi!$J$5:$J$1004,Transaksi!$D$5:$D$1004,"Keluar",Transaksi!$B$5:$B$1004,"&lt;"&amp;DATE($B$20+1,1,1),Transaksi!$M$5:$M$1004,"Terverifikasi",Transaksi!$H$5:$H$1004,"&lt;&gt;*[CONTOH]*")</f>
        <v/>
      </c>
    </row>
    <row r="34" ht="15" customHeight="1" s="33">
      <c r="A34" s="42" t="inlineStr">
        <is>
          <t>Total setahun</t>
        </is>
      </c>
      <c r="B34" s="43">
        <f>SUM(B22:B33)</f>
        <v/>
      </c>
      <c r="C34" s="43">
        <f>SUM(C22:C33)</f>
        <v/>
      </c>
      <c r="D34" s="43">
        <f>SUM(D22:D33)</f>
        <v/>
      </c>
      <c r="E34" s="43">
        <f>SUM(E22:E33)</f>
        <v/>
      </c>
      <c r="F34" s="43">
        <f>SUM(F22:F33)</f>
        <v/>
      </c>
      <c r="G34" s="43">
        <f>SUM(G22:G33)</f>
        <v/>
      </c>
      <c r="H34" s="43">
        <f>SUM(H22:H33)</f>
        <v/>
      </c>
      <c r="I34" s="43">
        <f>SUM(I22:I33)</f>
        <v/>
      </c>
      <c r="J34" s="43">
        <f>J33</f>
        <v/>
      </c>
    </row>
    <row r="36" ht="15" customHeight="1" s="33">
      <c r="A36" s="36" t="inlineStr">
        <is>
          <t>C. Per Proyek (sejak awal pencatatan)</t>
        </is>
      </c>
    </row>
    <row r="37" ht="31.5" customHeight="1" s="33">
      <c r="A37" s="40" t="inlineStr">
        <is>
          <t>Proyek</t>
        </is>
      </c>
      <c r="B37" s="40" t="inlineStr">
        <is>
          <t>Uang Masuk</t>
        </is>
      </c>
      <c r="C37" s="40" t="inlineStr">
        <is>
          <t>Uang Keluar</t>
        </is>
      </c>
      <c r="D37" s="40" t="inlineStr">
        <is>
          <t>Selisih</t>
        </is>
      </c>
      <c r="E37" s="40" t="inlineStr">
        <is>
          <t>Porsi dari Total Keluar</t>
        </is>
      </c>
    </row>
    <row r="38" ht="15" customHeight="1" s="33">
      <c r="A38" s="39">
        <f>IF(Referensi!$F$5="","",Referensi!$F$5)</f>
        <v/>
      </c>
      <c r="B38" s="39">
        <f>IF(A38="","",SUMIFS(Transaksi!$J$5:$J$1004,Transaksi!$G$5:$G$1004,A38,Transaksi!$D$5:$D$1004,"Masuk",Transaksi!$M$5:$M$1004,"Terverifikasi",Transaksi!$H$5:$H$1004,"&lt;&gt;*[CONTOH]*"))</f>
        <v/>
      </c>
      <c r="C38" s="39">
        <f>IF(A38="","",SUMIFS(Transaksi!$J$5:$J$1004,Transaksi!$G$5:$G$1004,A38,Transaksi!$D$5:$D$1004,"Keluar",Transaksi!$M$5:$M$1004,"Terverifikasi",Transaksi!$H$5:$H$1004,"&lt;&gt;*[CONTOH]*"))</f>
        <v/>
      </c>
      <c r="D38" s="39">
        <f>IF(A38="","",B38-C38)</f>
        <v/>
      </c>
      <c r="E38" s="44">
        <f>IF(A38="","",IF($B$11=0,0,C38/$B$11))</f>
        <v/>
      </c>
    </row>
    <row r="39" ht="15" customHeight="1" s="33">
      <c r="A39" s="39">
        <f>IF(Referensi!$F$6="","",Referensi!$F$6)</f>
        <v/>
      </c>
      <c r="B39" s="39">
        <f>IF(A39="","",SUMIFS(Transaksi!$J$5:$J$1004,Transaksi!$G$5:$G$1004,A39,Transaksi!$D$5:$D$1004,"Masuk",Transaksi!$M$5:$M$1004,"Terverifikasi",Transaksi!$H$5:$H$1004,"&lt;&gt;*[CONTOH]*"))</f>
        <v/>
      </c>
      <c r="C39" s="39">
        <f>IF(A39="","",SUMIFS(Transaksi!$J$5:$J$1004,Transaksi!$G$5:$G$1004,A39,Transaksi!$D$5:$D$1004,"Keluar",Transaksi!$M$5:$M$1004,"Terverifikasi",Transaksi!$H$5:$H$1004,"&lt;&gt;*[CONTOH]*"))</f>
        <v/>
      </c>
      <c r="D39" s="39">
        <f>IF(A39="","",B39-C39)</f>
        <v/>
      </c>
      <c r="E39" s="44">
        <f>IF(A39="","",IF($B$11=0,0,C39/$B$11))</f>
        <v/>
      </c>
    </row>
    <row r="40" ht="15" customHeight="1" s="33">
      <c r="A40" s="39">
        <f>IF(Referensi!$F$7="","",Referensi!$F$7)</f>
        <v/>
      </c>
      <c r="B40" s="39">
        <f>IF(A40="","",SUMIFS(Transaksi!$J$5:$J$1004,Transaksi!$G$5:$G$1004,A40,Transaksi!$D$5:$D$1004,"Masuk",Transaksi!$M$5:$M$1004,"Terverifikasi",Transaksi!$H$5:$H$1004,"&lt;&gt;*[CONTOH]*"))</f>
        <v/>
      </c>
      <c r="C40" s="39">
        <f>IF(A40="","",SUMIFS(Transaksi!$J$5:$J$1004,Transaksi!$G$5:$G$1004,A40,Transaksi!$D$5:$D$1004,"Keluar",Transaksi!$M$5:$M$1004,"Terverifikasi",Transaksi!$H$5:$H$1004,"&lt;&gt;*[CONTOH]*"))</f>
        <v/>
      </c>
      <c r="D40" s="39">
        <f>IF(A40="","",B40-C40)</f>
        <v/>
      </c>
      <c r="E40" s="44">
        <f>IF(A40="","",IF($B$11=0,0,C40/$B$11))</f>
        <v/>
      </c>
    </row>
    <row r="41" ht="15" customHeight="1" s="33">
      <c r="A41" s="39">
        <f>IF(Referensi!$F$8="","",Referensi!$F$8)</f>
        <v/>
      </c>
      <c r="B41" s="39">
        <f>IF(A41="","",SUMIFS(Transaksi!$J$5:$J$1004,Transaksi!$G$5:$G$1004,A41,Transaksi!$D$5:$D$1004,"Masuk",Transaksi!$M$5:$M$1004,"Terverifikasi",Transaksi!$H$5:$H$1004,"&lt;&gt;*[CONTOH]*"))</f>
        <v/>
      </c>
      <c r="C41" s="39">
        <f>IF(A41="","",SUMIFS(Transaksi!$J$5:$J$1004,Transaksi!$G$5:$G$1004,A41,Transaksi!$D$5:$D$1004,"Keluar",Transaksi!$M$5:$M$1004,"Terverifikasi",Transaksi!$H$5:$H$1004,"&lt;&gt;*[CONTOH]*"))</f>
        <v/>
      </c>
      <c r="D41" s="39">
        <f>IF(A41="","",B41-C41)</f>
        <v/>
      </c>
      <c r="E41" s="44">
        <f>IF(A41="","",IF($B$11=0,0,C41/$B$11))</f>
        <v/>
      </c>
    </row>
    <row r="42" ht="15" customHeight="1" s="33">
      <c r="A42" s="39">
        <f>IF(Referensi!$F$9="","",Referensi!$F$9)</f>
        <v/>
      </c>
      <c r="B42" s="39">
        <f>IF(A42="","",SUMIFS(Transaksi!$J$5:$J$1004,Transaksi!$G$5:$G$1004,A42,Transaksi!$D$5:$D$1004,"Masuk",Transaksi!$M$5:$M$1004,"Terverifikasi",Transaksi!$H$5:$H$1004,"&lt;&gt;*[CONTOH]*"))</f>
        <v/>
      </c>
      <c r="C42" s="39">
        <f>IF(A42="","",SUMIFS(Transaksi!$J$5:$J$1004,Transaksi!$G$5:$G$1004,A42,Transaksi!$D$5:$D$1004,"Keluar",Transaksi!$M$5:$M$1004,"Terverifikasi",Transaksi!$H$5:$H$1004,"&lt;&gt;*[CONTOH]*"))</f>
        <v/>
      </c>
      <c r="D42" s="39">
        <f>IF(A42="","",B42-C42)</f>
        <v/>
      </c>
      <c r="E42" s="44">
        <f>IF(A42="","",IF($B$11=0,0,C42/$B$11))</f>
        <v/>
      </c>
    </row>
    <row r="43" ht="15" customHeight="1" s="33">
      <c r="A43" s="39">
        <f>IF(Referensi!$F$10="","",Referensi!$F$10)</f>
        <v/>
      </c>
      <c r="B43" s="39">
        <f>IF(A43="","",SUMIFS(Transaksi!$J$5:$J$1004,Transaksi!$G$5:$G$1004,A43,Transaksi!$D$5:$D$1004,"Masuk",Transaksi!$M$5:$M$1004,"Terverifikasi",Transaksi!$H$5:$H$1004,"&lt;&gt;*[CONTOH]*"))</f>
        <v/>
      </c>
      <c r="C43" s="39">
        <f>IF(A43="","",SUMIFS(Transaksi!$J$5:$J$1004,Transaksi!$G$5:$G$1004,A43,Transaksi!$D$5:$D$1004,"Keluar",Transaksi!$M$5:$M$1004,"Terverifikasi",Transaksi!$H$5:$H$1004,"&lt;&gt;*[CONTOH]*"))</f>
        <v/>
      </c>
      <c r="D43" s="39">
        <f>IF(A43="","",B43-C43)</f>
        <v/>
      </c>
      <c r="E43" s="44">
        <f>IF(A43="","",IF($B$11=0,0,C43/$B$11))</f>
        <v/>
      </c>
    </row>
    <row r="44" ht="15" customHeight="1" s="33">
      <c r="A44" s="39">
        <f>IF(Referensi!$F$11="","",Referensi!$F$11)</f>
        <v/>
      </c>
      <c r="B44" s="39">
        <f>IF(A44="","",SUMIFS(Transaksi!$J$5:$J$1004,Transaksi!$G$5:$G$1004,A44,Transaksi!$D$5:$D$1004,"Masuk",Transaksi!$M$5:$M$1004,"Terverifikasi",Transaksi!$H$5:$H$1004,"&lt;&gt;*[CONTOH]*"))</f>
        <v/>
      </c>
      <c r="C44" s="39">
        <f>IF(A44="","",SUMIFS(Transaksi!$J$5:$J$1004,Transaksi!$G$5:$G$1004,A44,Transaksi!$D$5:$D$1004,"Keluar",Transaksi!$M$5:$M$1004,"Terverifikasi",Transaksi!$H$5:$H$1004,"&lt;&gt;*[CONTOH]*"))</f>
        <v/>
      </c>
      <c r="D44" s="39">
        <f>IF(A44="","",B44-C44)</f>
        <v/>
      </c>
      <c r="E44" s="44">
        <f>IF(A44="","",IF($B$11=0,0,C44/$B$11))</f>
        <v/>
      </c>
    </row>
    <row r="45" ht="15" customHeight="1" s="33">
      <c r="A45" s="39">
        <f>IF(Referensi!$F$12="","",Referensi!$F$12)</f>
        <v/>
      </c>
      <c r="B45" s="39">
        <f>IF(A45="","",SUMIFS(Transaksi!$J$5:$J$1004,Transaksi!$G$5:$G$1004,A45,Transaksi!$D$5:$D$1004,"Masuk",Transaksi!$M$5:$M$1004,"Terverifikasi",Transaksi!$H$5:$H$1004,"&lt;&gt;*[CONTOH]*"))</f>
        <v/>
      </c>
      <c r="C45" s="39">
        <f>IF(A45="","",SUMIFS(Transaksi!$J$5:$J$1004,Transaksi!$G$5:$G$1004,A45,Transaksi!$D$5:$D$1004,"Keluar",Transaksi!$M$5:$M$1004,"Terverifikasi",Transaksi!$H$5:$H$1004,"&lt;&gt;*[CONTOH]*"))</f>
        <v/>
      </c>
      <c r="D45" s="39">
        <f>IF(A45="","",B45-C45)</f>
        <v/>
      </c>
      <c r="E45" s="44">
        <f>IF(A45="","",IF($B$11=0,0,C45/$B$11))</f>
        <v/>
      </c>
    </row>
    <row r="46" ht="15" customHeight="1" s="33">
      <c r="A46" s="39">
        <f>IF(Referensi!$F$13="","",Referensi!$F$13)</f>
        <v/>
      </c>
      <c r="B46" s="39">
        <f>IF(A46="","",SUMIFS(Transaksi!$J$5:$J$1004,Transaksi!$G$5:$G$1004,A46,Transaksi!$D$5:$D$1004,"Masuk",Transaksi!$M$5:$M$1004,"Terverifikasi",Transaksi!$H$5:$H$1004,"&lt;&gt;*[CONTOH]*"))</f>
        <v/>
      </c>
      <c r="C46" s="39">
        <f>IF(A46="","",SUMIFS(Transaksi!$J$5:$J$1004,Transaksi!$G$5:$G$1004,A46,Transaksi!$D$5:$D$1004,"Keluar",Transaksi!$M$5:$M$1004,"Terverifikasi",Transaksi!$H$5:$H$1004,"&lt;&gt;*[CONTOH]*"))</f>
        <v/>
      </c>
      <c r="D46" s="39">
        <f>IF(A46="","",B46-C46)</f>
        <v/>
      </c>
      <c r="E46" s="44">
        <f>IF(A46="","",IF($B$11=0,0,C46/$B$11))</f>
        <v/>
      </c>
    </row>
    <row r="47" ht="15" customHeight="1" s="33">
      <c r="A47" s="39">
        <f>IF(Referensi!$F$14="","",Referensi!$F$14)</f>
        <v/>
      </c>
      <c r="B47" s="39">
        <f>IF(A47="","",SUMIFS(Transaksi!$J$5:$J$1004,Transaksi!$G$5:$G$1004,A47,Transaksi!$D$5:$D$1004,"Masuk",Transaksi!$M$5:$M$1004,"Terverifikasi",Transaksi!$H$5:$H$1004,"&lt;&gt;*[CONTOH]*"))</f>
        <v/>
      </c>
      <c r="C47" s="39">
        <f>IF(A47="","",SUMIFS(Transaksi!$J$5:$J$1004,Transaksi!$G$5:$G$1004,A47,Transaksi!$D$5:$D$1004,"Keluar",Transaksi!$M$5:$M$1004,"Terverifikasi",Transaksi!$H$5:$H$1004,"&lt;&gt;*[CONTOH]*"))</f>
        <v/>
      </c>
      <c r="D47" s="39">
        <f>IF(A47="","",B47-C47)</f>
        <v/>
      </c>
      <c r="E47" s="44">
        <f>IF(A47="","",IF($B$11=0,0,C47/$B$11))</f>
        <v/>
      </c>
    </row>
    <row r="48" ht="15" customHeight="1" s="33">
      <c r="A48" s="39">
        <f>IF(Referensi!$F$15="","",Referensi!$F$15)</f>
        <v/>
      </c>
      <c r="B48" s="39">
        <f>IF(A48="","",SUMIFS(Transaksi!$J$5:$J$1004,Transaksi!$G$5:$G$1004,A48,Transaksi!$D$5:$D$1004,"Masuk",Transaksi!$M$5:$M$1004,"Terverifikasi",Transaksi!$H$5:$H$1004,"&lt;&gt;*[CONTOH]*"))</f>
        <v/>
      </c>
      <c r="C48" s="39">
        <f>IF(A48="","",SUMIFS(Transaksi!$J$5:$J$1004,Transaksi!$G$5:$G$1004,A48,Transaksi!$D$5:$D$1004,"Keluar",Transaksi!$M$5:$M$1004,"Terverifikasi",Transaksi!$H$5:$H$1004,"&lt;&gt;*[CONTOH]*"))</f>
        <v/>
      </c>
      <c r="D48" s="39">
        <f>IF(A48="","",B48-C48)</f>
        <v/>
      </c>
      <c r="E48" s="44">
        <f>IF(A48="","",IF($B$11=0,0,C48/$B$11))</f>
        <v/>
      </c>
    </row>
    <row r="49" ht="15" customHeight="1" s="33">
      <c r="A49" s="39">
        <f>IF(Referensi!$F$16="","",Referensi!$F$16)</f>
        <v/>
      </c>
      <c r="B49" s="39">
        <f>IF(A49="","",SUMIFS(Transaksi!$J$5:$J$1004,Transaksi!$G$5:$G$1004,A49,Transaksi!$D$5:$D$1004,"Masuk",Transaksi!$M$5:$M$1004,"Terverifikasi",Transaksi!$H$5:$H$1004,"&lt;&gt;*[CONTOH]*"))</f>
        <v/>
      </c>
      <c r="C49" s="39">
        <f>IF(A49="","",SUMIFS(Transaksi!$J$5:$J$1004,Transaksi!$G$5:$G$1004,A49,Transaksi!$D$5:$D$1004,"Keluar",Transaksi!$M$5:$M$1004,"Terverifikasi",Transaksi!$H$5:$H$1004,"&lt;&gt;*[CONTOH]*"))</f>
        <v/>
      </c>
      <c r="D49" s="39">
        <f>IF(A49="","",B49-C49)</f>
        <v/>
      </c>
      <c r="E49" s="44">
        <f>IF(A49="","",IF($B$11=0,0,C49/$B$11))</f>
        <v/>
      </c>
    </row>
    <row r="50" ht="15" customHeight="1" s="33">
      <c r="A50" s="39">
        <f>IF(Referensi!$F$17="","",Referensi!$F$17)</f>
        <v/>
      </c>
      <c r="B50" s="39">
        <f>IF(A50="","",SUMIFS(Transaksi!$J$5:$J$1004,Transaksi!$G$5:$G$1004,A50,Transaksi!$D$5:$D$1004,"Masuk",Transaksi!$M$5:$M$1004,"Terverifikasi",Transaksi!$H$5:$H$1004,"&lt;&gt;*[CONTOH]*"))</f>
        <v/>
      </c>
      <c r="C50" s="39">
        <f>IF(A50="","",SUMIFS(Transaksi!$J$5:$J$1004,Transaksi!$G$5:$G$1004,A50,Transaksi!$D$5:$D$1004,"Keluar",Transaksi!$M$5:$M$1004,"Terverifikasi",Transaksi!$H$5:$H$1004,"&lt;&gt;*[CONTOH]*"))</f>
        <v/>
      </c>
      <c r="D50" s="39">
        <f>IF(A50="","",B50-C50)</f>
        <v/>
      </c>
      <c r="E50" s="44">
        <f>IF(A50="","",IF($B$11=0,0,C50/$B$11))</f>
        <v/>
      </c>
    </row>
    <row r="51" ht="15" customHeight="1" s="33">
      <c r="A51" s="39">
        <f>IF(Referensi!$F$18="","",Referensi!$F$18)</f>
        <v/>
      </c>
      <c r="B51" s="39">
        <f>IF(A51="","",SUMIFS(Transaksi!$J$5:$J$1004,Transaksi!$G$5:$G$1004,A51,Transaksi!$D$5:$D$1004,"Masuk",Transaksi!$M$5:$M$1004,"Terverifikasi",Transaksi!$H$5:$H$1004,"&lt;&gt;*[CONTOH]*"))</f>
        <v/>
      </c>
      <c r="C51" s="39">
        <f>IF(A51="","",SUMIFS(Transaksi!$J$5:$J$1004,Transaksi!$G$5:$G$1004,A51,Transaksi!$D$5:$D$1004,"Keluar",Transaksi!$M$5:$M$1004,"Terverifikasi",Transaksi!$H$5:$H$1004,"&lt;&gt;*[CONTOH]*"))</f>
        <v/>
      </c>
      <c r="D51" s="39">
        <f>IF(A51="","",B51-C51)</f>
        <v/>
      </c>
      <c r="E51" s="44">
        <f>IF(A51="","",IF($B$11=0,0,C51/$B$11))</f>
        <v/>
      </c>
    </row>
    <row r="52" ht="15" customHeight="1" s="33">
      <c r="A52" s="39">
        <f>IF(Referensi!$F$19="","",Referensi!$F$19)</f>
        <v/>
      </c>
      <c r="B52" s="39">
        <f>IF(A52="","",SUMIFS(Transaksi!$J$5:$J$1004,Transaksi!$G$5:$G$1004,A52,Transaksi!$D$5:$D$1004,"Masuk",Transaksi!$M$5:$M$1004,"Terverifikasi",Transaksi!$H$5:$H$1004,"&lt;&gt;*[CONTOH]*"))</f>
        <v/>
      </c>
      <c r="C52" s="39">
        <f>IF(A52="","",SUMIFS(Transaksi!$J$5:$J$1004,Transaksi!$G$5:$G$1004,A52,Transaksi!$D$5:$D$1004,"Keluar",Transaksi!$M$5:$M$1004,"Terverifikasi",Transaksi!$H$5:$H$1004,"&lt;&gt;*[CONTOH]*"))</f>
        <v/>
      </c>
      <c r="D52" s="39">
        <f>IF(A52="","",B52-C52)</f>
        <v/>
      </c>
      <c r="E52" s="44">
        <f>IF(A52="","",IF($B$11=0,0,C52/$B$11))</f>
        <v/>
      </c>
    </row>
    <row r="53" ht="15" customHeight="1" s="33">
      <c r="A53" s="39">
        <f>IF(Referensi!$F$20="","",Referensi!$F$20)</f>
        <v/>
      </c>
      <c r="B53" s="39">
        <f>IF(A53="","",SUMIFS(Transaksi!$J$5:$J$1004,Transaksi!$G$5:$G$1004,A53,Transaksi!$D$5:$D$1004,"Masuk",Transaksi!$M$5:$M$1004,"Terverifikasi",Transaksi!$H$5:$H$1004,"&lt;&gt;*[CONTOH]*"))</f>
        <v/>
      </c>
      <c r="C53" s="39">
        <f>IF(A53="","",SUMIFS(Transaksi!$J$5:$J$1004,Transaksi!$G$5:$G$1004,A53,Transaksi!$D$5:$D$1004,"Keluar",Transaksi!$M$5:$M$1004,"Terverifikasi",Transaksi!$H$5:$H$1004,"&lt;&gt;*[CONTOH]*"))</f>
        <v/>
      </c>
      <c r="D53" s="39">
        <f>IF(A53="","",B53-C53)</f>
        <v/>
      </c>
      <c r="E53" s="44">
        <f>IF(A53="","",IF($B$11=0,0,C53/$B$11))</f>
        <v/>
      </c>
    </row>
    <row r="55" ht="15" customHeight="1" s="33">
      <c r="A55" s="36" t="inlineStr">
        <is>
          <t>D. Per Kategori (sejak awal pencatatan)</t>
        </is>
      </c>
    </row>
    <row r="56" ht="31.5" customHeight="1" s="33">
      <c r="A56" s="40" t="inlineStr">
        <is>
          <t>Kategori</t>
        </is>
      </c>
      <c r="B56" s="40" t="inlineStr">
        <is>
          <t>Jenis</t>
        </is>
      </c>
      <c r="C56" s="40" t="inlineStr">
        <is>
          <t>Kelompok</t>
        </is>
      </c>
      <c r="D56" s="40" t="inlineStr">
        <is>
          <t>Total</t>
        </is>
      </c>
    </row>
    <row r="57" ht="15" customHeight="1" s="33">
      <c r="A57" s="38">
        <f>IF(Referensi!$A$5="","",Referensi!$A$5)</f>
        <v/>
      </c>
      <c r="B57" s="38">
        <f>IF(A57="","",Referensi!$B$5)</f>
        <v/>
      </c>
      <c r="C57" s="38">
        <f>IF(A57="","",Referensi!$C$5)</f>
        <v/>
      </c>
      <c r="D57" s="39">
        <f>IF(A57="","",SUMIFS(Transaksi!$J$5:$J$1004,Transaksi!$E$5:$E$1004,A57,Transaksi!$M$5:$M$1004,"Terverifikasi",Transaksi!$H$5:$H$1004,"&lt;&gt;*[CONTOH]*"))</f>
        <v/>
      </c>
    </row>
    <row r="58" ht="15" customHeight="1" s="33">
      <c r="A58" s="38">
        <f>IF(Referensi!$A$6="","",Referensi!$A$6)</f>
        <v/>
      </c>
      <c r="B58" s="38">
        <f>IF(A58="","",Referensi!$B$6)</f>
        <v/>
      </c>
      <c r="C58" s="38">
        <f>IF(A58="","",Referensi!$C$6)</f>
        <v/>
      </c>
      <c r="D58" s="39">
        <f>IF(A58="","",SUMIFS(Transaksi!$J$5:$J$1004,Transaksi!$E$5:$E$1004,A58,Transaksi!$M$5:$M$1004,"Terverifikasi",Transaksi!$H$5:$H$1004,"&lt;&gt;*[CONTOH]*"))</f>
        <v/>
      </c>
    </row>
    <row r="59" ht="15" customHeight="1" s="33">
      <c r="A59" s="38">
        <f>IF(Referensi!$A$7="","",Referensi!$A$7)</f>
        <v/>
      </c>
      <c r="B59" s="38">
        <f>IF(A59="","",Referensi!$B$7)</f>
        <v/>
      </c>
      <c r="C59" s="38">
        <f>IF(A59="","",Referensi!$C$7)</f>
        <v/>
      </c>
      <c r="D59" s="39">
        <f>IF(A59="","",SUMIFS(Transaksi!$J$5:$J$1004,Transaksi!$E$5:$E$1004,A59,Transaksi!$M$5:$M$1004,"Terverifikasi",Transaksi!$H$5:$H$1004,"&lt;&gt;*[CONTOH]*"))</f>
        <v/>
      </c>
    </row>
    <row r="60" ht="15" customHeight="1" s="33">
      <c r="A60" s="38">
        <f>IF(Referensi!$A$8="","",Referensi!$A$8)</f>
        <v/>
      </c>
      <c r="B60" s="38">
        <f>IF(A60="","",Referensi!$B$8)</f>
        <v/>
      </c>
      <c r="C60" s="38">
        <f>IF(A60="","",Referensi!$C$8)</f>
        <v/>
      </c>
      <c r="D60" s="39">
        <f>IF(A60="","",SUMIFS(Transaksi!$J$5:$J$1004,Transaksi!$E$5:$E$1004,A60,Transaksi!$M$5:$M$1004,"Terverifikasi",Transaksi!$H$5:$H$1004,"&lt;&gt;*[CONTOH]*"))</f>
        <v/>
      </c>
    </row>
    <row r="61" ht="15" customHeight="1" s="33">
      <c r="A61" s="38">
        <f>IF(Referensi!$A$9="","",Referensi!$A$9)</f>
        <v/>
      </c>
      <c r="B61" s="38">
        <f>IF(A61="","",Referensi!$B$9)</f>
        <v/>
      </c>
      <c r="C61" s="38">
        <f>IF(A61="","",Referensi!$C$9)</f>
        <v/>
      </c>
      <c r="D61" s="39">
        <f>IF(A61="","",SUMIFS(Transaksi!$J$5:$J$1004,Transaksi!$E$5:$E$1004,A61,Transaksi!$M$5:$M$1004,"Terverifikasi",Transaksi!$H$5:$H$1004,"&lt;&gt;*[CONTOH]*"))</f>
        <v/>
      </c>
    </row>
    <row r="62" ht="15" customHeight="1" s="33">
      <c r="A62" s="38">
        <f>IF(Referensi!$A$10="","",Referensi!$A$10)</f>
        <v/>
      </c>
      <c r="B62" s="38">
        <f>IF(A62="","",Referensi!$B$10)</f>
        <v/>
      </c>
      <c r="C62" s="38">
        <f>IF(A62="","",Referensi!$C$10)</f>
        <v/>
      </c>
      <c r="D62" s="39">
        <f>IF(A62="","",SUMIFS(Transaksi!$J$5:$J$1004,Transaksi!$E$5:$E$1004,A62,Transaksi!$M$5:$M$1004,"Terverifikasi",Transaksi!$H$5:$H$1004,"&lt;&gt;*[CONTOH]*"))</f>
        <v/>
      </c>
    </row>
    <row r="63" ht="15" customHeight="1" s="33">
      <c r="A63" s="38">
        <f>IF(Referensi!$A$11="","",Referensi!$A$11)</f>
        <v/>
      </c>
      <c r="B63" s="38">
        <f>IF(A63="","",Referensi!$B$11)</f>
        <v/>
      </c>
      <c r="C63" s="38">
        <f>IF(A63="","",Referensi!$C$11)</f>
        <v/>
      </c>
      <c r="D63" s="39">
        <f>IF(A63="","",SUMIFS(Transaksi!$J$5:$J$1004,Transaksi!$E$5:$E$1004,A63,Transaksi!$M$5:$M$1004,"Terverifikasi",Transaksi!$H$5:$H$1004,"&lt;&gt;*[CONTOH]*"))</f>
        <v/>
      </c>
    </row>
    <row r="64" ht="15" customHeight="1" s="33">
      <c r="A64" s="38">
        <f>IF(Referensi!$A$12="","",Referensi!$A$12)</f>
        <v/>
      </c>
      <c r="B64" s="38">
        <f>IF(A64="","",Referensi!$B$12)</f>
        <v/>
      </c>
      <c r="C64" s="38">
        <f>IF(A64="","",Referensi!$C$12)</f>
        <v/>
      </c>
      <c r="D64" s="39">
        <f>IF(A64="","",SUMIFS(Transaksi!$J$5:$J$1004,Transaksi!$E$5:$E$1004,A64,Transaksi!$M$5:$M$1004,"Terverifikasi",Transaksi!$H$5:$H$1004,"&lt;&gt;*[CONTOH]*"))</f>
        <v/>
      </c>
    </row>
    <row r="65" ht="15" customHeight="1" s="33">
      <c r="A65" s="38">
        <f>IF(Referensi!$A$13="","",Referensi!$A$13)</f>
        <v/>
      </c>
      <c r="B65" s="38">
        <f>IF(A65="","",Referensi!$B$13)</f>
        <v/>
      </c>
      <c r="C65" s="38">
        <f>IF(A65="","",Referensi!$C$13)</f>
        <v/>
      </c>
      <c r="D65" s="39">
        <f>IF(A65="","",SUMIFS(Transaksi!$J$5:$J$1004,Transaksi!$E$5:$E$1004,A65,Transaksi!$M$5:$M$1004,"Terverifikasi",Transaksi!$H$5:$H$1004,"&lt;&gt;*[CONTOH]*"))</f>
        <v/>
      </c>
    </row>
    <row r="66" ht="15" customHeight="1" s="33">
      <c r="A66" s="38">
        <f>IF(Referensi!$A$14="","",Referensi!$A$14)</f>
        <v/>
      </c>
      <c r="B66" s="38">
        <f>IF(A66="","",Referensi!$B$14)</f>
        <v/>
      </c>
      <c r="C66" s="38">
        <f>IF(A66="","",Referensi!$C$14)</f>
        <v/>
      </c>
      <c r="D66" s="39">
        <f>IF(A66="","",SUMIFS(Transaksi!$J$5:$J$1004,Transaksi!$E$5:$E$1004,A66,Transaksi!$M$5:$M$1004,"Terverifikasi",Transaksi!$H$5:$H$1004,"&lt;&gt;*[CONTOH]*"))</f>
        <v/>
      </c>
    </row>
    <row r="67" ht="15" customHeight="1" s="33">
      <c r="A67" s="38">
        <f>IF(Referensi!$A$15="","",Referensi!$A$15)</f>
        <v/>
      </c>
      <c r="B67" s="38">
        <f>IF(A67="","",Referensi!$B$15)</f>
        <v/>
      </c>
      <c r="C67" s="38">
        <f>IF(A67="","",Referensi!$C$15)</f>
        <v/>
      </c>
      <c r="D67" s="39">
        <f>IF(A67="","",SUMIFS(Transaksi!$J$5:$J$1004,Transaksi!$E$5:$E$1004,A67,Transaksi!$M$5:$M$1004,"Terverifikasi",Transaksi!$H$5:$H$1004,"&lt;&gt;*[CONTOH]*"))</f>
        <v/>
      </c>
    </row>
    <row r="68" ht="15" customHeight="1" s="33">
      <c r="A68" s="38">
        <f>IF(Referensi!$A$16="","",Referensi!$A$16)</f>
        <v/>
      </c>
      <c r="B68" s="38">
        <f>IF(A68="","",Referensi!$B$16)</f>
        <v/>
      </c>
      <c r="C68" s="38">
        <f>IF(A68="","",Referensi!$C$16)</f>
        <v/>
      </c>
      <c r="D68" s="39">
        <f>IF(A68="","",SUMIFS(Transaksi!$J$5:$J$1004,Transaksi!$E$5:$E$1004,A68,Transaksi!$M$5:$M$1004,"Terverifikasi",Transaksi!$H$5:$H$1004,"&lt;&gt;*[CONTOH]*"))</f>
        <v/>
      </c>
    </row>
    <row r="69" ht="15" customHeight="1" s="33">
      <c r="A69" s="38">
        <f>IF(Referensi!$A$17="","",Referensi!$A$17)</f>
        <v/>
      </c>
      <c r="B69" s="38">
        <f>IF(A69="","",Referensi!$B$17)</f>
        <v/>
      </c>
      <c r="C69" s="38">
        <f>IF(A69="","",Referensi!$C$17)</f>
        <v/>
      </c>
      <c r="D69" s="39">
        <f>IF(A69="","",SUMIFS(Transaksi!$J$5:$J$1004,Transaksi!$E$5:$E$1004,A69,Transaksi!$M$5:$M$1004,"Terverifikasi",Transaksi!$H$5:$H$1004,"&lt;&gt;*[CONTOH]*"))</f>
        <v/>
      </c>
    </row>
    <row r="70" ht="15" customHeight="1" s="33">
      <c r="A70" s="38">
        <f>IF(Referensi!$A$18="","",Referensi!$A$18)</f>
        <v/>
      </c>
      <c r="B70" s="38">
        <f>IF(A70="","",Referensi!$B$18)</f>
        <v/>
      </c>
      <c r="C70" s="38">
        <f>IF(A70="","",Referensi!$C$18)</f>
        <v/>
      </c>
      <c r="D70" s="39">
        <f>IF(A70="","",SUMIFS(Transaksi!$J$5:$J$1004,Transaksi!$E$5:$E$1004,A70,Transaksi!$M$5:$M$1004,"Terverifikasi",Transaksi!$H$5:$H$1004,"&lt;&gt;*[CONTOH]*"))</f>
        <v/>
      </c>
    </row>
    <row r="71" ht="15" customHeight="1" s="33">
      <c r="A71" s="38">
        <f>IF(Referensi!$A$19="","",Referensi!$A$19)</f>
        <v/>
      </c>
      <c r="B71" s="38">
        <f>IF(A71="","",Referensi!$B$19)</f>
        <v/>
      </c>
      <c r="C71" s="38">
        <f>IF(A71="","",Referensi!$C$19)</f>
        <v/>
      </c>
      <c r="D71" s="39">
        <f>IF(A71="","",SUMIFS(Transaksi!$J$5:$J$1004,Transaksi!$E$5:$E$1004,A71,Transaksi!$M$5:$M$1004,"Terverifikasi",Transaksi!$H$5:$H$1004,"&lt;&gt;*[CONTOH]*"))</f>
        <v/>
      </c>
    </row>
    <row r="72" ht="15" customHeight="1" s="33">
      <c r="A72" s="38">
        <f>IF(Referensi!$A$20="","",Referensi!$A$20)</f>
        <v/>
      </c>
      <c r="B72" s="38">
        <f>IF(A72="","",Referensi!$B$20)</f>
        <v/>
      </c>
      <c r="C72" s="38">
        <f>IF(A72="","",Referensi!$C$20)</f>
        <v/>
      </c>
      <c r="D72" s="39">
        <f>IF(A72="","",SUMIFS(Transaksi!$J$5:$J$1004,Transaksi!$E$5:$E$1004,A72,Transaksi!$M$5:$M$1004,"Terverifikasi",Transaksi!$H$5:$H$1004,"&lt;&gt;*[CONTOH]*"))</f>
        <v/>
      </c>
    </row>
    <row r="73" ht="15" customHeight="1" s="33">
      <c r="A73" s="38">
        <f>IF(Referensi!$A$21="","",Referensi!$A$21)</f>
        <v/>
      </c>
      <c r="B73" s="38">
        <f>IF(A73="","",Referensi!$B$21)</f>
        <v/>
      </c>
      <c r="C73" s="38">
        <f>IF(A73="","",Referensi!$C$21)</f>
        <v/>
      </c>
      <c r="D73" s="39">
        <f>IF(A73="","",SUMIFS(Transaksi!$J$5:$J$1004,Transaksi!$E$5:$E$1004,A73,Transaksi!$M$5:$M$1004,"Terverifikasi",Transaksi!$H$5:$H$1004,"&lt;&gt;*[CONTOH]*"))</f>
        <v/>
      </c>
    </row>
    <row r="74" ht="15" customHeight="1" s="33">
      <c r="A74" s="38">
        <f>IF(Referensi!$A$22="","",Referensi!$A$22)</f>
        <v/>
      </c>
      <c r="B74" s="38">
        <f>IF(A74="","",Referensi!$B$22)</f>
        <v/>
      </c>
      <c r="C74" s="38">
        <f>IF(A74="","",Referensi!$C$22)</f>
        <v/>
      </c>
      <c r="D74" s="39">
        <f>IF(A74="","",SUMIFS(Transaksi!$J$5:$J$1004,Transaksi!$E$5:$E$1004,A74,Transaksi!$M$5:$M$1004,"Terverifikasi",Transaksi!$H$5:$H$1004,"&lt;&gt;*[CONTOH]*"))</f>
        <v/>
      </c>
    </row>
    <row r="75" ht="15" customHeight="1" s="33">
      <c r="A75" s="38">
        <f>IF(Referensi!$A$23="","",Referensi!$A$23)</f>
        <v/>
      </c>
      <c r="B75" s="38">
        <f>IF(A75="","",Referensi!$B$23)</f>
        <v/>
      </c>
      <c r="C75" s="38">
        <f>IF(A75="","",Referensi!$C$23)</f>
        <v/>
      </c>
      <c r="D75" s="39">
        <f>IF(A75="","",SUMIFS(Transaksi!$J$5:$J$1004,Transaksi!$E$5:$E$1004,A75,Transaksi!$M$5:$M$1004,"Terverifikasi",Transaksi!$H$5:$H$1004,"&lt;&gt;*[CONTOH]*"))</f>
        <v/>
      </c>
    </row>
    <row r="76" ht="15" customHeight="1" s="33">
      <c r="A76" s="38">
        <f>IF(Referensi!$A$24="","",Referensi!$A$24)</f>
        <v/>
      </c>
      <c r="B76" s="38">
        <f>IF(A76="","",Referensi!$B$24)</f>
        <v/>
      </c>
      <c r="C76" s="38">
        <f>IF(A76="","",Referensi!$C$24)</f>
        <v/>
      </c>
      <c r="D76" s="39">
        <f>IF(A76="","",SUMIFS(Transaksi!$J$5:$J$1004,Transaksi!$E$5:$E$1004,A76,Transaksi!$M$5:$M$1004,"Terverifikasi",Transaksi!$H$5:$H$1004,"&lt;&gt;*[CONTOH]*"))</f>
        <v/>
      </c>
    </row>
    <row r="77" ht="15" customHeight="1" s="33">
      <c r="A77" s="38">
        <f>IF(Referensi!$A$25="","",Referensi!$A$25)</f>
        <v/>
      </c>
      <c r="B77" s="38">
        <f>IF(A77="","",Referensi!$B$25)</f>
        <v/>
      </c>
      <c r="C77" s="38">
        <f>IF(A77="","",Referensi!$C$25)</f>
        <v/>
      </c>
      <c r="D77" s="39">
        <f>IF(A77="","",SUMIFS(Transaksi!$J$5:$J$1004,Transaksi!$E$5:$E$1004,A77,Transaksi!$M$5:$M$1004,"Terverifikasi",Transaksi!$H$5:$H$1004,"&lt;&gt;*[CONTOH]*"))</f>
        <v/>
      </c>
    </row>
    <row r="78" ht="15" customHeight="1" s="33">
      <c r="A78" s="38">
        <f>IF(Referensi!$A$26="","",Referensi!$A$26)</f>
        <v/>
      </c>
      <c r="B78" s="38">
        <f>IF(A78="","",Referensi!$B$26)</f>
        <v/>
      </c>
      <c r="C78" s="38">
        <f>IF(A78="","",Referensi!$C$26)</f>
        <v/>
      </c>
      <c r="D78" s="39">
        <f>IF(A78="","",SUMIFS(Transaksi!$J$5:$J$1004,Transaksi!$E$5:$E$1004,A78,Transaksi!$M$5:$M$1004,"Terverifikasi",Transaksi!$H$5:$H$1004,"&lt;&gt;*[CONTOH]*"))</f>
        <v/>
      </c>
    </row>
    <row r="79" ht="15" customHeight="1" s="33">
      <c r="A79" s="38">
        <f>IF(Referensi!$A$27="","",Referensi!$A$27)</f>
        <v/>
      </c>
      <c r="B79" s="38">
        <f>IF(A79="","",Referensi!$B$27)</f>
        <v/>
      </c>
      <c r="C79" s="38">
        <f>IF(A79="","",Referensi!$C$27)</f>
        <v/>
      </c>
      <c r="D79" s="39">
        <f>IF(A79="","",SUMIFS(Transaksi!$J$5:$J$1004,Transaksi!$E$5:$E$1004,A79,Transaksi!$M$5:$M$1004,"Terverifikasi",Transaksi!$H$5:$H$1004,"&lt;&gt;*[CONTOH]*"))</f>
        <v/>
      </c>
    </row>
    <row r="80" ht="15" customHeight="1" s="33">
      <c r="A80" s="38">
        <f>IF(Referensi!$A$28="","",Referensi!$A$28)</f>
        <v/>
      </c>
      <c r="B80" s="38">
        <f>IF(A80="","",Referensi!$B$28)</f>
        <v/>
      </c>
      <c r="C80" s="38">
        <f>IF(A80="","",Referensi!$C$28)</f>
        <v/>
      </c>
      <c r="D80" s="39">
        <f>IF(A80="","",SUMIFS(Transaksi!$J$5:$J$1004,Transaksi!$E$5:$E$1004,A80,Transaksi!$M$5:$M$1004,"Terverifikasi",Transaksi!$H$5:$H$1004,"&lt;&gt;*[CONTOH]*"))</f>
        <v/>
      </c>
    </row>
    <row r="81" ht="15" customHeight="1" s="33">
      <c r="A81" s="38">
        <f>IF(Referensi!$A$29="","",Referensi!$A$29)</f>
        <v/>
      </c>
      <c r="B81" s="38">
        <f>IF(A81="","",Referensi!$B$29)</f>
        <v/>
      </c>
      <c r="C81" s="38">
        <f>IF(A81="","",Referensi!$C$29)</f>
        <v/>
      </c>
      <c r="D81" s="39">
        <f>IF(A81="","",SUMIFS(Transaksi!$J$5:$J$1004,Transaksi!$E$5:$E$1004,A81,Transaksi!$M$5:$M$1004,"Terverifikasi",Transaksi!$H$5:$H$1004,"&lt;&gt;*[CONTOH]*"))</f>
        <v/>
      </c>
    </row>
    <row r="82" ht="15" customHeight="1" s="33">
      <c r="A82" s="38">
        <f>IF(Referensi!$A$30="","",Referensi!$A$30)</f>
        <v/>
      </c>
      <c r="B82" s="38">
        <f>IF(A82="","",Referensi!$B$30)</f>
        <v/>
      </c>
      <c r="C82" s="38">
        <f>IF(A82="","",Referensi!$C$30)</f>
        <v/>
      </c>
      <c r="D82" s="39">
        <f>IF(A82="","",SUMIFS(Transaksi!$J$5:$J$1004,Transaksi!$E$5:$E$1004,A82,Transaksi!$M$5:$M$1004,"Terverifikasi",Transaksi!$H$5:$H$1004,"&lt;&gt;*[CONTOH]*"))</f>
        <v/>
      </c>
    </row>
    <row r="83" ht="15" customHeight="1" s="33">
      <c r="A83" s="38">
        <f>IF(Referensi!$A$31="","",Referensi!$A$31)</f>
        <v/>
      </c>
      <c r="B83" s="38">
        <f>IF(A83="","",Referensi!$B$31)</f>
        <v/>
      </c>
      <c r="C83" s="38">
        <f>IF(A83="","",Referensi!$C$31)</f>
        <v/>
      </c>
      <c r="D83" s="39">
        <f>IF(A83="","",SUMIFS(Transaksi!$J$5:$J$1004,Transaksi!$E$5:$E$1004,A83,Transaksi!$M$5:$M$1004,"Terverifikasi",Transaksi!$H$5:$H$1004,"&lt;&gt;*[CONTOH]*"))</f>
        <v/>
      </c>
    </row>
    <row r="84" ht="15" customHeight="1" s="33">
      <c r="A84" s="38">
        <f>IF(Referensi!$A$32="","",Referensi!$A$32)</f>
        <v/>
      </c>
      <c r="B84" s="38">
        <f>IF(A84="","",Referensi!$B$32)</f>
        <v/>
      </c>
      <c r="C84" s="38">
        <f>IF(A84="","",Referensi!$C$32)</f>
        <v/>
      </c>
      <c r="D84" s="39">
        <f>IF(A84="","",SUMIFS(Transaksi!$J$5:$J$1004,Transaksi!$E$5:$E$1004,A84,Transaksi!$M$5:$M$1004,"Terverifikasi",Transaksi!$H$5:$H$1004,"&lt;&gt;*[CONTOH]*"))</f>
        <v/>
      </c>
    </row>
    <row r="85" ht="15" customHeight="1" s="33">
      <c r="A85" s="38">
        <f>IF(Referensi!$A$33="","",Referensi!$A$33)</f>
        <v/>
      </c>
      <c r="B85" s="38">
        <f>IF(A85="","",Referensi!$B$33)</f>
        <v/>
      </c>
      <c r="C85" s="38">
        <f>IF(A85="","",Referensi!$C$33)</f>
        <v/>
      </c>
      <c r="D85" s="39">
        <f>IF(A85="","",SUMIFS(Transaksi!$J$5:$J$1004,Transaksi!$E$5:$E$1004,A85,Transaksi!$M$5:$M$1004,"Terverifikasi",Transaksi!$H$5:$H$1004,"&lt;&gt;*[CONTOH]*"))</f>
        <v/>
      </c>
    </row>
    <row r="86" ht="15" customHeight="1" s="33">
      <c r="A86" s="38">
        <f>IF(Referensi!$A$34="","",Referensi!$A$34)</f>
        <v/>
      </c>
      <c r="B86" s="38">
        <f>IF(A86="","",Referensi!$B$34)</f>
        <v/>
      </c>
      <c r="C86" s="38">
        <f>IF(A86="","",Referensi!$C$34)</f>
        <v/>
      </c>
      <c r="D86" s="39">
        <f>IF(A86="","",SUMIFS(Transaksi!$J$5:$J$1004,Transaksi!$E$5:$E$1004,A86,Transaksi!$M$5:$M$1004,"Terverifikasi",Transaksi!$H$5:$H$1004,"&lt;&gt;*[CONTOH]*"))</f>
        <v/>
      </c>
    </row>
    <row r="87" ht="15" customHeight="1" s="33">
      <c r="A87" s="38">
        <f>IF(Referensi!$A$35="","",Referensi!$A$35)</f>
        <v/>
      </c>
      <c r="B87" s="38">
        <f>IF(A87="","",Referensi!$B$35)</f>
        <v/>
      </c>
      <c r="C87" s="38">
        <f>IF(A87="","",Referensi!$C$35)</f>
        <v/>
      </c>
      <c r="D87" s="39">
        <f>IF(A87="","",SUMIFS(Transaksi!$J$5:$J$1004,Transaksi!$E$5:$E$1004,A87,Transaksi!$M$5:$M$1004,"Terverifikasi",Transaksi!$H$5:$H$1004,"&lt;&gt;*[CONTOH]*"))</f>
        <v/>
      </c>
    </row>
    <row r="88" ht="15" customHeight="1" s="33">
      <c r="A88" s="38">
        <f>IF(Referensi!$A$36="","",Referensi!$A$36)</f>
        <v/>
      </c>
      <c r="B88" s="38">
        <f>IF(A88="","",Referensi!$B$36)</f>
        <v/>
      </c>
      <c r="C88" s="38">
        <f>IF(A88="","",Referensi!$C$36)</f>
        <v/>
      </c>
      <c r="D88" s="39">
        <f>IF(A88="","",SUMIFS(Transaksi!$J$5:$J$1004,Transaksi!$E$5:$E$1004,A88,Transaksi!$M$5:$M$1004,"Terverifikasi",Transaksi!$H$5:$H$1004,"&lt;&gt;*[CONTOH]*"))</f>
        <v/>
      </c>
    </row>
    <row r="89" ht="15" customHeight="1" s="33">
      <c r="A89" s="38">
        <f>IF(Referensi!$A$37="","",Referensi!$A$37)</f>
        <v/>
      </c>
      <c r="B89" s="38">
        <f>IF(A89="","",Referensi!$B$37)</f>
        <v/>
      </c>
      <c r="C89" s="38">
        <f>IF(A89="","",Referensi!$C$37)</f>
        <v/>
      </c>
      <c r="D89" s="39">
        <f>IF(A89="","",SUMIFS(Transaksi!$J$5:$J$1004,Transaksi!$E$5:$E$1004,A89,Transaksi!$M$5:$M$1004,"Terverifikasi",Transaksi!$H$5:$H$1004,"&lt;&gt;*[CONTOH]*"))</f>
        <v/>
      </c>
    </row>
    <row r="90" ht="15" customHeight="1" s="33">
      <c r="A90" s="38">
        <f>IF(Referensi!$A$38="","",Referensi!$A$38)</f>
        <v/>
      </c>
      <c r="B90" s="38">
        <f>IF(A90="","",Referensi!$B$38)</f>
        <v/>
      </c>
      <c r="C90" s="38">
        <f>IF(A90="","",Referensi!$C$38)</f>
        <v/>
      </c>
      <c r="D90" s="39">
        <f>IF(A90="","",SUMIFS(Transaksi!$J$5:$J$1004,Transaksi!$E$5:$E$1004,A90,Transaksi!$M$5:$M$1004,"Terverifikasi",Transaksi!$H$5:$H$1004,"&lt;&gt;*[CONTOH]*"))</f>
        <v/>
      </c>
    </row>
    <row r="91" ht="15" customHeight="1" s="33">
      <c r="A91" s="38">
        <f>IF(Referensi!$A$39="","",Referensi!$A$39)</f>
        <v/>
      </c>
      <c r="B91" s="38">
        <f>IF(A91="","",Referensi!$B$39)</f>
        <v/>
      </c>
      <c r="C91" s="38">
        <f>IF(A91="","",Referensi!$C$39)</f>
        <v/>
      </c>
      <c r="D91" s="39">
        <f>IF(A91="","",SUMIFS(Transaksi!$J$5:$J$1004,Transaksi!$E$5:$E$1004,A91,Transaksi!$M$5:$M$1004,"Terverifikasi",Transaksi!$H$5:$H$1004,"&lt;&gt;*[CONTOH]*"))</f>
        <v/>
      </c>
    </row>
    <row r="92" ht="15" customHeight="1" s="33">
      <c r="A92" s="38">
        <f>IF(Referensi!$A$40="","",Referensi!$A$40)</f>
        <v/>
      </c>
      <c r="B92" s="38">
        <f>IF(A92="","",Referensi!$B$40)</f>
        <v/>
      </c>
      <c r="C92" s="38">
        <f>IF(A92="","",Referensi!$C$40)</f>
        <v/>
      </c>
      <c r="D92" s="39">
        <f>IF(A92="","",SUMIFS(Transaksi!$J$5:$J$1004,Transaksi!$E$5:$E$1004,A92,Transaksi!$M$5:$M$1004,"Terverifikasi",Transaksi!$H$5:$H$1004,"&lt;&gt;*[CONTOH]*"))</f>
        <v/>
      </c>
    </row>
    <row r="93" ht="15" customHeight="1" s="33">
      <c r="A93" s="38">
        <f>IF(Referensi!$A$41="","",Referensi!$A$41)</f>
        <v/>
      </c>
      <c r="B93" s="38">
        <f>IF(A93="","",Referensi!$B$41)</f>
        <v/>
      </c>
      <c r="C93" s="38">
        <f>IF(A93="","",Referensi!$C$41)</f>
        <v/>
      </c>
      <c r="D93" s="39">
        <f>IF(A93="","",SUMIFS(Transaksi!$J$5:$J$1004,Transaksi!$E$5:$E$1004,A93,Transaksi!$M$5:$M$1004,"Terverifikasi",Transaksi!$H$5:$H$1004,"&lt;&gt;*[CONTOH]*"))</f>
        <v/>
      </c>
    </row>
    <row r="94" ht="15" customHeight="1" s="33">
      <c r="A94" s="38">
        <f>IF(Referensi!$A$42="","",Referensi!$A$42)</f>
        <v/>
      </c>
      <c r="B94" s="38">
        <f>IF(A94="","",Referensi!$B$42)</f>
        <v/>
      </c>
      <c r="C94" s="38">
        <f>IF(A94="","",Referensi!$C$42)</f>
        <v/>
      </c>
      <c r="D94" s="39">
        <f>IF(A94="","",SUMIFS(Transaksi!$J$5:$J$1004,Transaksi!$E$5:$E$1004,A94,Transaksi!$M$5:$M$1004,"Terverifikasi",Transaksi!$H$5:$H$1004,"&lt;&gt;*[CONTOH]*"))</f>
        <v/>
      </c>
    </row>
    <row r="95" ht="15" customHeight="1" s="33">
      <c r="A95" s="38">
        <f>IF(Referensi!$A$43="","",Referensi!$A$43)</f>
        <v/>
      </c>
      <c r="B95" s="38">
        <f>IF(A95="","",Referensi!$B$43)</f>
        <v/>
      </c>
      <c r="C95" s="38">
        <f>IF(A95="","",Referensi!$C$43)</f>
        <v/>
      </c>
      <c r="D95" s="39">
        <f>IF(A95="","",SUMIFS(Transaksi!$J$5:$J$1004,Transaksi!$E$5:$E$1004,A95,Transaksi!$M$5:$M$1004,"Terverifikasi",Transaksi!$H$5:$H$1004,"&lt;&gt;*[CONTOH]*"))</f>
        <v/>
      </c>
    </row>
    <row r="96" ht="15" customHeight="1" s="33">
      <c r="A96" s="38">
        <f>IF(Referensi!$A$44="","",Referensi!$A$44)</f>
        <v/>
      </c>
      <c r="B96" s="38">
        <f>IF(A96="","",Referensi!$B$44)</f>
        <v/>
      </c>
      <c r="C96" s="38">
        <f>IF(A96="","",Referensi!$C$44)</f>
        <v/>
      </c>
      <c r="D96" s="39">
        <f>IF(A96="","",SUMIFS(Transaksi!$J$5:$J$1004,Transaksi!$E$5:$E$1004,A96,Transaksi!$M$5:$M$1004,"Terverifikasi",Transaksi!$H$5:$H$1004,"&lt;&gt;*[CONTOH]*"))</f>
        <v/>
      </c>
    </row>
    <row r="97" ht="15" customHeight="1" s="33">
      <c r="A97" s="38">
        <f>IF(Referensi!$A$45="","",Referensi!$A$45)</f>
        <v/>
      </c>
      <c r="B97" s="38">
        <f>IF(A97="","",Referensi!$B$45)</f>
        <v/>
      </c>
      <c r="C97" s="38">
        <f>IF(A97="","",Referensi!$C$45)</f>
        <v/>
      </c>
      <c r="D97" s="39">
        <f>IF(A97="","",SUMIFS(Transaksi!$J$5:$J$1004,Transaksi!$E$5:$E$1004,A97,Transaksi!$M$5:$M$1004,"Terverifikasi",Transaksi!$H$5:$H$1004,"&lt;&gt;*[CONTOH]*"))</f>
        <v/>
      </c>
    </row>
    <row r="98" ht="15" customHeight="1" s="33">
      <c r="A98" s="38">
        <f>IF(Referensi!$A$46="","",Referensi!$A$46)</f>
        <v/>
      </c>
      <c r="B98" s="38">
        <f>IF(A98="","",Referensi!$B$46)</f>
        <v/>
      </c>
      <c r="C98" s="38">
        <f>IF(A98="","",Referensi!$C$46)</f>
        <v/>
      </c>
      <c r="D98" s="39">
        <f>IF(A98="","",SUMIFS(Transaksi!$J$5:$J$1004,Transaksi!$E$5:$E$1004,A98,Transaksi!$M$5:$M$1004,"Terverifikasi",Transaksi!$H$5:$H$1004,"&lt;&gt;*[CONTOH]*"))</f>
        <v/>
      </c>
    </row>
    <row r="99" ht="15" customHeight="1" s="33">
      <c r="A99" s="38">
        <f>IF(Referensi!$A$47="","",Referensi!$A$47)</f>
        <v/>
      </c>
      <c r="B99" s="38">
        <f>IF(A99="","",Referensi!$B$47)</f>
        <v/>
      </c>
      <c r="C99" s="38">
        <f>IF(A99="","",Referensi!$C$47)</f>
        <v/>
      </c>
      <c r="D99" s="39">
        <f>IF(A99="","",SUMIFS(Transaksi!$J$5:$J$1004,Transaksi!$E$5:$E$1004,A99,Transaksi!$M$5:$M$1004,"Terverifikasi",Transaksi!$H$5:$H$1004,"&lt;&gt;*[CONTOH]*"))</f>
        <v/>
      </c>
    </row>
    <row r="100" ht="15" customHeight="1" s="33">
      <c r="A100" s="38">
        <f>IF(Referensi!$A$48="","",Referensi!$A$48)</f>
        <v/>
      </c>
      <c r="B100" s="38">
        <f>IF(A100="","",Referensi!$B$48)</f>
        <v/>
      </c>
      <c r="C100" s="38">
        <f>IF(A100="","",Referensi!$C$48)</f>
        <v/>
      </c>
      <c r="D100" s="39">
        <f>IF(A100="","",SUMIFS(Transaksi!$J$5:$J$1004,Transaksi!$E$5:$E$1004,A100,Transaksi!$M$5:$M$1004,"Terverifikasi",Transaksi!$H$5:$H$1004,"&lt;&gt;*[CONTOH]*"))</f>
        <v/>
      </c>
    </row>
    <row r="101" ht="15" customHeight="1" s="33">
      <c r="A101" s="38">
        <f>IF(Referensi!$A$49="","",Referensi!$A$49)</f>
        <v/>
      </c>
      <c r="B101" s="38">
        <f>IF(A101="","",Referensi!$B$49)</f>
        <v/>
      </c>
      <c r="C101" s="38">
        <f>IF(A101="","",Referensi!$C$49)</f>
        <v/>
      </c>
      <c r="D101" s="39">
        <f>IF(A101="","",SUMIFS(Transaksi!$J$5:$J$1004,Transaksi!$E$5:$E$1004,A101,Transaksi!$M$5:$M$1004,"Terverifikasi",Transaksi!$H$5:$H$1004,"&lt;&gt;*[CONTOH]*"))</f>
        <v/>
      </c>
    </row>
    <row r="102" ht="15" customHeight="1" s="33">
      <c r="A102" s="38">
        <f>IF(Referensi!$A$50="","",Referensi!$A$50)</f>
        <v/>
      </c>
      <c r="B102" s="38">
        <f>IF(A102="","",Referensi!$B$50)</f>
        <v/>
      </c>
      <c r="C102" s="38">
        <f>IF(A102="","",Referensi!$C$50)</f>
        <v/>
      </c>
      <c r="D102" s="39">
        <f>IF(A102="","",SUMIFS(Transaksi!$J$5:$J$1004,Transaksi!$E$5:$E$1004,A102,Transaksi!$M$5:$M$1004,"Terverifikasi",Transaksi!$H$5:$H$1004,"&lt;&gt;*[CONTOH]*"))</f>
        <v/>
      </c>
    </row>
    <row r="103" ht="15" customHeight="1" s="33">
      <c r="A103" s="38">
        <f>IF(Referensi!$A$51="","",Referensi!$A$51)</f>
        <v/>
      </c>
      <c r="B103" s="38">
        <f>IF(A103="","",Referensi!$B$51)</f>
        <v/>
      </c>
      <c r="C103" s="38">
        <f>IF(A103="","",Referensi!$C$51)</f>
        <v/>
      </c>
      <c r="D103" s="39">
        <f>IF(A103="","",SUMIFS(Transaksi!$J$5:$J$1004,Transaksi!$E$5:$E$1004,A103,Transaksi!$M$5:$M$1004,"Terverifikasi",Transaksi!$H$5:$H$1004,"&lt;&gt;*[CONTOH]*"))</f>
        <v/>
      </c>
    </row>
    <row r="104" ht="15" customHeight="1" s="33">
      <c r="A104" s="38">
        <f>IF(Referensi!$A$52="","",Referensi!$A$52)</f>
        <v/>
      </c>
      <c r="B104" s="38">
        <f>IF(A104="","",Referensi!$B$52)</f>
        <v/>
      </c>
      <c r="C104" s="38">
        <f>IF(A104="","",Referensi!$C$52)</f>
        <v/>
      </c>
      <c r="D104" s="39">
        <f>IF(A104="","",SUMIFS(Transaksi!$J$5:$J$1004,Transaksi!$E$5:$E$1004,A104,Transaksi!$M$5:$M$1004,"Terverifikasi",Transaksi!$H$5:$H$1004,"&lt;&gt;*[CONTOH]*"))</f>
        <v/>
      </c>
    </row>
    <row r="105" ht="15" customHeight="1" s="33">
      <c r="A105" s="38">
        <f>IF(Referensi!$A$53="","",Referensi!$A$53)</f>
        <v/>
      </c>
      <c r="B105" s="38">
        <f>IF(A105="","",Referensi!$B$53)</f>
        <v/>
      </c>
      <c r="C105" s="38">
        <f>IF(A105="","",Referensi!$C$53)</f>
        <v/>
      </c>
      <c r="D105" s="39">
        <f>IF(A105="","",SUMIFS(Transaksi!$J$5:$J$1004,Transaksi!$E$5:$E$1004,A105,Transaksi!$M$5:$M$1004,"Terverifikasi",Transaksi!$H$5:$H$1004,"&lt;&gt;*[CONTOH]*"))</f>
        <v/>
      </c>
    </row>
    <row r="106" ht="15" customHeight="1" s="33">
      <c r="A106" s="38">
        <f>IF(Referensi!$A$54="","",Referensi!$A$54)</f>
        <v/>
      </c>
      <c r="B106" s="38">
        <f>IF(A106="","",Referensi!$B$54)</f>
        <v/>
      </c>
      <c r="C106" s="38">
        <f>IF(A106="","",Referensi!$C$54)</f>
        <v/>
      </c>
      <c r="D106" s="39">
        <f>IF(A106="","",SUMIFS(Transaksi!$J$5:$J$1004,Transaksi!$E$5:$E$1004,A106,Transaksi!$M$5:$M$1004,"Terverifikasi",Transaksi!$H$5:$H$1004,"&lt;&gt;*[CONTOH]*"))</f>
        <v/>
      </c>
    </row>
    <row r="107" ht="15" customHeight="1" s="33">
      <c r="A107" s="38">
        <f>IF(Referensi!$A$55="","",Referensi!$A$55)</f>
        <v/>
      </c>
      <c r="B107" s="38">
        <f>IF(A107="","",Referensi!$B$55)</f>
        <v/>
      </c>
      <c r="C107" s="38">
        <f>IF(A107="","",Referensi!$C$55)</f>
        <v/>
      </c>
      <c r="D107" s="39">
        <f>IF(A107="","",SUMIFS(Transaksi!$J$5:$J$1004,Transaksi!$E$5:$E$1004,A107,Transaksi!$M$5:$M$1004,"Terverifikasi",Transaksi!$H$5:$H$1004,"&lt;&gt;*[CONTOH]*"))</f>
        <v/>
      </c>
    </row>
    <row r="108" ht="15" customHeight="1" s="33">
      <c r="A108" s="38">
        <f>IF(Referensi!$A$56="","",Referensi!$A$56)</f>
        <v/>
      </c>
      <c r="B108" s="38">
        <f>IF(A108="","",Referensi!$B$56)</f>
        <v/>
      </c>
      <c r="C108" s="38">
        <f>IF(A108="","",Referensi!$C$56)</f>
        <v/>
      </c>
      <c r="D108" s="39">
        <f>IF(A108="","",SUMIFS(Transaksi!$J$5:$J$1004,Transaksi!$E$5:$E$1004,A108,Transaksi!$M$5:$M$1004,"Terverifikasi",Transaksi!$H$5:$H$1004,"&lt;&gt;*[CONTOH]*"))</f>
        <v/>
      </c>
    </row>
    <row r="109" ht="15" customHeight="1" s="33">
      <c r="A109" s="38">
        <f>IF(Referensi!$A$57="","",Referensi!$A$57)</f>
        <v/>
      </c>
      <c r="B109" s="38">
        <f>IF(A109="","",Referensi!$B$57)</f>
        <v/>
      </c>
      <c r="C109" s="38">
        <f>IF(A109="","",Referensi!$C$57)</f>
        <v/>
      </c>
      <c r="D109" s="39">
        <f>IF(A109="","",SUMIFS(Transaksi!$J$5:$J$1004,Transaksi!$E$5:$E$1004,A109,Transaksi!$M$5:$M$1004,"Terverifikasi",Transaksi!$H$5:$H$1004,"&lt;&gt;*[CONTOH]*"))</f>
        <v/>
      </c>
    </row>
    <row r="110" ht="15" customHeight="1" s="33">
      <c r="A110" s="38">
        <f>IF(Referensi!$A$58="","",Referensi!$A$58)</f>
        <v/>
      </c>
      <c r="B110" s="38">
        <f>IF(A110="","",Referensi!$B$58)</f>
        <v/>
      </c>
      <c r="C110" s="38">
        <f>IF(A110="","",Referensi!$C$58)</f>
        <v/>
      </c>
      <c r="D110" s="39">
        <f>IF(A110="","",SUMIFS(Transaksi!$J$5:$J$1004,Transaksi!$E$5:$E$1004,A110,Transaksi!$M$5:$M$1004,"Terverifikasi",Transaksi!$H$5:$H$1004,"&lt;&gt;*[CONTOH]*"))</f>
        <v/>
      </c>
    </row>
    <row r="111" ht="15" customHeight="1" s="33">
      <c r="A111" s="38">
        <f>IF(Referensi!$A$59="","",Referensi!$A$59)</f>
        <v/>
      </c>
      <c r="B111" s="38">
        <f>IF(A111="","",Referensi!$B$59)</f>
        <v/>
      </c>
      <c r="C111" s="38">
        <f>IF(A111="","",Referensi!$C$59)</f>
        <v/>
      </c>
      <c r="D111" s="39">
        <f>IF(A111="","",SUMIFS(Transaksi!$J$5:$J$1004,Transaksi!$E$5:$E$1004,A111,Transaksi!$M$5:$M$1004,"Terverifikasi",Transaksi!$H$5:$H$1004,"&lt;&gt;*[CONTOH]*"))</f>
        <v/>
      </c>
    </row>
    <row r="112" ht="15" customHeight="1" s="33">
      <c r="A112" s="38">
        <f>IF(Referensi!$A$60="","",Referensi!$A$60)</f>
        <v/>
      </c>
      <c r="B112" s="38">
        <f>IF(A112="","",Referensi!$B$60)</f>
        <v/>
      </c>
      <c r="C112" s="38">
        <f>IF(A112="","",Referensi!$C$60)</f>
        <v/>
      </c>
      <c r="D112" s="39">
        <f>IF(A112="","",SUMIFS(Transaksi!$J$5:$J$1004,Transaksi!$E$5:$E$1004,A112,Transaksi!$M$5:$M$1004,"Terverifikasi",Transaksi!$H$5:$H$1004,"&lt;&gt;*[CONTOH]*"))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F8A4E"/>
    <outlinePr summaryBelow="1" summaryRight="1"/>
    <pageSetUpPr fitToPage="0"/>
  </sheetPr>
  <dimension ref="A1:N10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12" customWidth="1" style="32" min="2" max="2"/>
    <col width="14" customWidth="1" style="32" min="3" max="3"/>
    <col width="9" customWidth="1" style="32" min="4" max="4"/>
    <col width="30" customWidth="1" style="32" min="5" max="5"/>
    <col width="20" customWidth="1" style="32" min="6" max="7"/>
    <col width="44" customWidth="1" style="32" min="8" max="8"/>
    <col width="26" customWidth="1" style="32" min="9" max="9"/>
    <col width="16" customWidth="1" style="32" min="10" max="10"/>
    <col width="18" customWidth="1" style="32" min="11" max="11"/>
    <col width="30" customWidth="1" style="32" min="12" max="12"/>
    <col width="20" customWidth="1" style="32" min="13" max="13"/>
    <col width="18" customWidth="1" style="32" min="14" max="14"/>
  </cols>
  <sheetData>
    <row r="1" ht="19.7" customHeight="1" s="33">
      <c r="A1" s="34" t="inlineStr">
        <is>
          <t>Buku Kas Publik — Transaksi</t>
        </is>
      </c>
    </row>
    <row r="2" ht="15" customHeight="1" s="33">
      <c r="A2" s="35" t="inlineStr">
        <is>
          <t>Satu baris = satu transaksi. Isi kolom putih. Kolom abu-abu terisi otomatis, jangan diubah.</t>
        </is>
      </c>
    </row>
    <row r="4" ht="31.5" customHeight="1" s="33">
      <c r="A4" s="40" t="inlineStr">
        <is>
          <t>No</t>
        </is>
      </c>
      <c r="B4" s="40" t="inlineStr">
        <is>
          <t>Tanggal</t>
        </is>
      </c>
      <c r="C4" s="40" t="inlineStr">
        <is>
          <t>No. Bukti</t>
        </is>
      </c>
      <c r="D4" s="40" t="inlineStr">
        <is>
          <t>Jenis</t>
        </is>
      </c>
      <c r="E4" s="40" t="inlineStr">
        <is>
          <t>Kategori</t>
        </is>
      </c>
      <c r="F4" s="40" t="inlineStr">
        <is>
          <t>Kelompok (otomatis)</t>
        </is>
      </c>
      <c r="G4" s="40" t="inlineStr">
        <is>
          <t>Proyek</t>
        </is>
      </c>
      <c r="H4" s="40" t="inlineStr">
        <is>
          <t>Keterangan</t>
        </is>
      </c>
      <c r="I4" s="40" t="inlineStr">
        <is>
          <t>Pihak Terkait</t>
        </is>
      </c>
      <c r="J4" s="40" t="inlineStr">
        <is>
          <t>Jumlah (Rp)</t>
        </is>
      </c>
      <c r="K4" s="40" t="inlineStr">
        <is>
          <t>Saldo Kas (otomatis)</t>
        </is>
      </c>
      <c r="L4" s="40" t="inlineStr">
        <is>
          <t>Tautan Bukti</t>
        </is>
      </c>
      <c r="M4" s="40" t="inlineStr">
        <is>
          <t>Status</t>
        </is>
      </c>
      <c r="N4" s="40" t="inlineStr">
        <is>
          <t>Cek (otomatis)</t>
        </is>
      </c>
    </row>
    <row r="5" ht="15" customHeight="1" s="33">
      <c r="A5" s="51">
        <f>IF(B5="","",ROW()-4)</f>
        <v/>
      </c>
      <c r="B5" s="52" t="n">
        <v>46296</v>
      </c>
      <c r="C5" s="53" t="inlineStr">
        <is>
          <t>BKM-2610-001</t>
        </is>
      </c>
      <c r="D5" s="53" t="inlineStr">
        <is>
          <t>Masuk</t>
        </is>
      </c>
      <c r="E5" s="53" t="inlineStr">
        <is>
          <t>Modal Disetor Pemegang Saham</t>
        </is>
      </c>
      <c r="F5" s="51">
        <f>IF(E5="","",IFERROR(INDEX(Referensi!$C$5:$C$60,MATCH(E5,Referensi!$A$5:$A$60,0)),"?"))</f>
        <v/>
      </c>
      <c r="G5" s="53" t="inlineStr">
        <is>
          <t>Umum Perusahaan</t>
        </is>
      </c>
      <c r="H5" s="54" t="inlineStr">
        <is>
          <t>[CONTOH] Setoran modal awal pendiri</t>
        </is>
      </c>
      <c r="I5" s="53" t="inlineStr">
        <is>
          <t>Pemegang saham PT</t>
        </is>
      </c>
      <c r="J5" s="55" t="n">
        <v>50000000</v>
      </c>
      <c r="K5" s="56">
        <f>IF(J5="","",SUMIFS(J$5:J5,D$5:D5,"Masuk")-SUMIFS(J$5:J5,D$5:D5,"Keluar"))</f>
        <v/>
      </c>
      <c r="L5" s="53" t="inlineStr">
        <is>
          <t>https://drive.google.com/… (tautan foto nota)</t>
        </is>
      </c>
      <c r="M5" s="53" t="inlineStr">
        <is>
          <t>Terverifikasi</t>
        </is>
      </c>
      <c r="N5" s="51">
        <f>IF(E5="","",IFERROR(IF(INDEX(Referensi!$B$5:$B$60,MATCH(E5,Referensi!$A$5:$A$60,0))=D5,"OK","Jenis tidak cocok"),"Kategori tidak dikenal"))</f>
        <v/>
      </c>
    </row>
    <row r="6" ht="15" customHeight="1" s="33">
      <c r="A6" s="51">
        <f>IF(B6="","",ROW()-4)</f>
        <v/>
      </c>
      <c r="B6" s="52" t="n">
        <v>46298</v>
      </c>
      <c r="C6" s="53" t="inlineStr">
        <is>
          <t>BKK-2610-001</t>
        </is>
      </c>
      <c r="D6" s="53" t="inlineStr">
        <is>
          <t>Keluar</t>
        </is>
      </c>
      <c r="E6" s="53" t="inlineStr">
        <is>
          <t>Legal, Audit &amp; Administrasi</t>
        </is>
      </c>
      <c r="F6" s="51">
        <f>IF(E6="","",IFERROR(INDEX(Referensi!$C$5:$C$60,MATCH(E6,Referensi!$A$5:$A$60,0)),"?"))</f>
        <v/>
      </c>
      <c r="G6" s="53" t="inlineStr">
        <is>
          <t>Umum Perusahaan</t>
        </is>
      </c>
      <c r="H6" s="54" t="inlineStr">
        <is>
          <t>[CONTOH] Biaya notaris perubahan akta</t>
        </is>
      </c>
      <c r="I6" s="53" t="inlineStr">
        <is>
          <t>Kantor Notaris (badan usaha)</t>
        </is>
      </c>
      <c r="J6" s="55" t="n">
        <v>3500000</v>
      </c>
      <c r="K6" s="56">
        <f>IF(J6="","",SUMIFS(J$5:J6,D$5:D6,"Masuk")-SUMIFS(J$5:J6,D$5:D6,"Keluar"))</f>
        <v/>
      </c>
      <c r="L6" s="53" t="inlineStr">
        <is>
          <t>https://drive.google.com/… (tautan foto nota)</t>
        </is>
      </c>
      <c r="M6" s="53" t="inlineStr">
        <is>
          <t>Terverifikasi</t>
        </is>
      </c>
      <c r="N6" s="51">
        <f>IF(E6="","",IFERROR(IF(INDEX(Referensi!$B$5:$B$60,MATCH(E6,Referensi!$A$5:$A$60,0))=D6,"OK","Jenis tidak cocok"),"Kategori tidak dikenal"))</f>
        <v/>
      </c>
    </row>
    <row r="7" ht="15" customHeight="1" s="33">
      <c r="A7" s="51">
        <f>IF(B7="","",ROW()-4)</f>
        <v/>
      </c>
      <c r="B7" s="52" t="n">
        <v>46303</v>
      </c>
      <c r="C7" s="53" t="inlineStr">
        <is>
          <t>BKK-2610-002</t>
        </is>
      </c>
      <c r="D7" s="53" t="inlineStr">
        <is>
          <t>Keluar</t>
        </is>
      </c>
      <c r="E7" s="53" t="inlineStr">
        <is>
          <t>Survei &amp; Riset Lahan</t>
        </is>
      </c>
      <c r="F7" s="51">
        <f>IF(E7="","",IFERROR(INDEX(Referensi!$C$5:$C$60,MATCH(E7,Referensi!$A$5:$A$60,0)),"?"))</f>
        <v/>
      </c>
      <c r="G7" s="53" t="inlineStr">
        <is>
          <t>Lapor Lahan &amp; Riset</t>
        </is>
      </c>
      <c r="H7" s="54" t="inlineStr">
        <is>
          <t>[CONTOH] Survei lahan laporan warga #001</t>
        </is>
      </c>
      <c r="I7" s="53" t="inlineStr">
        <is>
          <t>Tim survei (3 orang)</t>
        </is>
      </c>
      <c r="J7" s="55" t="n">
        <v>2750000</v>
      </c>
      <c r="K7" s="56">
        <f>IF(J7="","",SUMIFS(J$5:J7,D$5:D7,"Masuk")-SUMIFS(J$5:J7,D$5:D7,"Keluar"))</f>
        <v/>
      </c>
      <c r="L7" s="53" t="inlineStr">
        <is>
          <t>https://drive.google.com/… (tautan foto nota)</t>
        </is>
      </c>
      <c r="M7" s="53" t="inlineStr">
        <is>
          <t>Terverifikasi</t>
        </is>
      </c>
      <c r="N7" s="51">
        <f>IF(E7="","",IFERROR(IF(INDEX(Referensi!$B$5:$B$60,MATCH(E7,Referensi!$A$5:$A$60,0))=D7,"OK","Jenis tidak cocok"),"Kategori tidak dikenal"))</f>
        <v/>
      </c>
    </row>
    <row r="8" ht="15" customHeight="1" s="33">
      <c r="A8" s="51">
        <f>IF(B8="","",ROW()-4)</f>
        <v/>
      </c>
      <c r="B8" s="52" t="n">
        <v>46310</v>
      </c>
      <c r="C8" s="53" t="inlineStr">
        <is>
          <t>BKK-2610-003</t>
        </is>
      </c>
      <c r="D8" s="53" t="inlineStr">
        <is>
          <t>Keluar</t>
        </is>
      </c>
      <c r="E8" s="53" t="inlineStr">
        <is>
          <t>Bibit &amp; Material Tanam</t>
        </is>
      </c>
      <c r="F8" s="51">
        <f>IF(E8="","",IFERROR(INDEX(Referensi!$C$5:$C$60,MATCH(E8,Referensi!$A$5:$A$60,0)),"?"))</f>
        <v/>
      </c>
      <c r="G8" s="53" t="inlineStr">
        <is>
          <t>Akar Bambu</t>
        </is>
      </c>
      <c r="H8" s="54" t="inlineStr">
        <is>
          <t>[CONTOH] 500 bibit bambu &amp; 200 bibit katuk</t>
        </is>
      </c>
      <c r="I8" s="53" t="inlineStr">
        <is>
          <t>Persemaian mitra (badan usaha)</t>
        </is>
      </c>
      <c r="J8" s="55" t="n">
        <v>6250000</v>
      </c>
      <c r="K8" s="56">
        <f>IF(J8="","",SUMIFS(J$5:J8,D$5:D8,"Masuk")-SUMIFS(J$5:J8,D$5:D8,"Keluar"))</f>
        <v/>
      </c>
      <c r="L8" s="53" t="inlineStr">
        <is>
          <t>https://drive.google.com/… (tautan foto nota)</t>
        </is>
      </c>
      <c r="M8" s="53" t="inlineStr">
        <is>
          <t>Menunggu Verifikasi</t>
        </is>
      </c>
      <c r="N8" s="51">
        <f>IF(E8="","",IFERROR(IF(INDEX(Referensi!$B$5:$B$60,MATCH(E8,Referensi!$A$5:$A$60,0))=D8,"OK","Jenis tidak cocok"),"Kategori tidak dikenal"))</f>
        <v/>
      </c>
    </row>
    <row r="9" ht="26.85" customHeight="1" s="33">
      <c r="A9" s="51">
        <f>IF(B9="","",ROW()-4)</f>
        <v/>
      </c>
      <c r="B9" s="52" t="n">
        <v>46315</v>
      </c>
      <c r="C9" s="53" t="inlineStr">
        <is>
          <t>BKK-2610-004</t>
        </is>
      </c>
      <c r="D9" s="53" t="inlineStr">
        <is>
          <t>Keluar</t>
        </is>
      </c>
      <c r="E9" s="53" t="inlineStr">
        <is>
          <t>Upah Pekerja Lapangan</t>
        </is>
      </c>
      <c r="F9" s="51">
        <f>IF(E9="","",IFERROR(INDEX(Referensi!$C$5:$C$60,MATCH(E9,Referensi!$A$5:$A$60,0)),"?"))</f>
        <v/>
      </c>
      <c r="G9" s="53" t="inlineStr">
        <is>
          <t>Akar Bambu</t>
        </is>
      </c>
      <c r="H9" s="54" t="inlineStr">
        <is>
          <t>[CONTOH] Upah 8 pekerja lokal, persiapan lahan 5 hari</t>
        </is>
      </c>
      <c r="I9" s="53" t="inlineStr">
        <is>
          <t>Pekerja lokal (8 orang)</t>
        </is>
      </c>
      <c r="J9" s="55" t="n">
        <v>4800000</v>
      </c>
      <c r="K9" s="56">
        <f>IF(J9="","",SUMIFS(J$5:J9,D$5:D9,"Masuk")-SUMIFS(J$5:J9,D$5:D9,"Keluar"))</f>
        <v/>
      </c>
      <c r="L9" s="53" t="inlineStr">
        <is>
          <t>https://drive.google.com/… (tautan foto nota)</t>
        </is>
      </c>
      <c r="M9" s="53" t="inlineStr">
        <is>
          <t>Terverifikasi</t>
        </is>
      </c>
      <c r="N9" s="51">
        <f>IF(E9="","",IFERROR(IF(INDEX(Referensi!$B$5:$B$60,MATCH(E9,Referensi!$A$5:$A$60,0))=D9,"OK","Jenis tidak cocok"),"Kategori tidak dikenal"))</f>
        <v/>
      </c>
    </row>
    <row r="10" ht="26.85" customHeight="1" s="33">
      <c r="A10" s="51">
        <f>IF(B10="","",ROW()-4)</f>
        <v/>
      </c>
      <c r="B10" s="52" t="n">
        <v>46323</v>
      </c>
      <c r="C10" s="53" t="inlineStr">
        <is>
          <t>BKM-2610-002</t>
        </is>
      </c>
      <c r="D10" s="53" t="inlineStr">
        <is>
          <t>Masuk</t>
        </is>
      </c>
      <c r="E10" s="53" t="inlineStr">
        <is>
          <t>Kemitraan / CSR Perusahaan</t>
        </is>
      </c>
      <c r="F10" s="51">
        <f>IF(E10="","",IFERROR(INDEX(Referensi!$C$5:$C$60,MATCH(E10,Referensi!$A$5:$A$60,0)),"?"))</f>
        <v/>
      </c>
      <c r="G10" s="53" t="inlineStr">
        <is>
          <t>Akar Bambu</t>
        </is>
      </c>
      <c r="H10" s="54" t="inlineStr">
        <is>
          <t>[CONTOH] Termin 1 kontrak kemitraan penanaman</t>
        </is>
      </c>
      <c r="I10" s="53" t="inlineStr">
        <is>
          <t>PT Mitra (nama perusahaan)</t>
        </is>
      </c>
      <c r="J10" s="55" t="n">
        <v>25000000</v>
      </c>
      <c r="K10" s="56">
        <f>IF(J10="","",SUMIFS(J$5:J10,D$5:D10,"Masuk")-SUMIFS(J$5:J10,D$5:D10,"Keluar"))</f>
        <v/>
      </c>
      <c r="L10" s="53" t="inlineStr">
        <is>
          <t>https://drive.google.com/… (tautan foto nota)</t>
        </is>
      </c>
      <c r="M10" s="53" t="inlineStr">
        <is>
          <t>Terverifikasi</t>
        </is>
      </c>
      <c r="N10" s="51">
        <f>IF(E10="","",IFERROR(IF(INDEX(Referensi!$B$5:$B$60,MATCH(E10,Referensi!$A$5:$A$60,0))=D10,"OK","Jenis tidak cocok"),"Kategori tidak dikenal"))</f>
        <v/>
      </c>
    </row>
    <row r="11" ht="15" customHeight="1" s="33">
      <c r="A11" s="57">
        <f>IF(B11="","",ROW()-4)</f>
        <v/>
      </c>
      <c r="B11" s="58" t="n"/>
      <c r="C11" s="38" t="n"/>
      <c r="D11" s="38" t="n"/>
      <c r="E11" s="38" t="n"/>
      <c r="F11" s="57">
        <f>IF(E11="","",IFERROR(INDEX(Referensi!$C$5:$C$60,MATCH(E11,Referensi!$A$5:$A$60,0)),"?"))</f>
        <v/>
      </c>
      <c r="G11" s="38" t="n"/>
      <c r="H11" s="59" t="n"/>
      <c r="I11" s="38" t="n"/>
      <c r="J11" s="39" t="n"/>
      <c r="K11" s="60">
        <f>IF(J11="","",SUMIFS(J$5:J11,D$5:D11,"Masuk")-SUMIFS(J$5:J11,D$5:D11,"Keluar"))</f>
        <v/>
      </c>
      <c r="L11" s="38" t="n"/>
      <c r="M11" s="38" t="n"/>
      <c r="N11" s="57">
        <f>IF(E11="","",IFERROR(IF(INDEX(Referensi!$B$5:$B$60,MATCH(E11,Referensi!$A$5:$A$60,0))=D11,"OK","Jenis tidak cocok"),"Kategori tidak dikenal"))</f>
        <v/>
      </c>
    </row>
    <row r="12" ht="15" customHeight="1" s="33">
      <c r="A12" s="57">
        <f>IF(B12="","",ROW()-4)</f>
        <v/>
      </c>
      <c r="B12" s="58" t="n"/>
      <c r="C12" s="38" t="n"/>
      <c r="D12" s="38" t="n"/>
      <c r="E12" s="38" t="n"/>
      <c r="F12" s="57">
        <f>IF(E12="","",IFERROR(INDEX(Referensi!$C$5:$C$60,MATCH(E12,Referensi!$A$5:$A$60,0)),"?"))</f>
        <v/>
      </c>
      <c r="G12" s="38" t="n"/>
      <c r="H12" s="59" t="n"/>
      <c r="I12" s="38" t="n"/>
      <c r="J12" s="39" t="n"/>
      <c r="K12" s="60">
        <f>IF(J12="","",SUMIFS(J$5:J12,D$5:D12,"Masuk")-SUMIFS(J$5:J12,D$5:D12,"Keluar"))</f>
        <v/>
      </c>
      <c r="L12" s="38" t="n"/>
      <c r="M12" s="38" t="n"/>
      <c r="N12" s="57">
        <f>IF(E12="","",IFERROR(IF(INDEX(Referensi!$B$5:$B$60,MATCH(E12,Referensi!$A$5:$A$60,0))=D12,"OK","Jenis tidak cocok"),"Kategori tidak dikenal"))</f>
        <v/>
      </c>
    </row>
    <row r="13" ht="15" customHeight="1" s="33">
      <c r="A13" s="57">
        <f>IF(B13="","",ROW()-4)</f>
        <v/>
      </c>
      <c r="B13" s="58" t="n"/>
      <c r="C13" s="38" t="n"/>
      <c r="D13" s="38" t="n"/>
      <c r="E13" s="38" t="n"/>
      <c r="F13" s="57">
        <f>IF(E13="","",IFERROR(INDEX(Referensi!$C$5:$C$60,MATCH(E13,Referensi!$A$5:$A$60,0)),"?"))</f>
        <v/>
      </c>
      <c r="G13" s="38" t="n"/>
      <c r="H13" s="59" t="n"/>
      <c r="I13" s="38" t="n"/>
      <c r="J13" s="39" t="n"/>
      <c r="K13" s="60">
        <f>IF(J13="","",SUMIFS(J$5:J13,D$5:D13,"Masuk")-SUMIFS(J$5:J13,D$5:D13,"Keluar"))</f>
        <v/>
      </c>
      <c r="L13" s="38" t="n"/>
      <c r="M13" s="38" t="n"/>
      <c r="N13" s="57">
        <f>IF(E13="","",IFERROR(IF(INDEX(Referensi!$B$5:$B$60,MATCH(E13,Referensi!$A$5:$A$60,0))=D13,"OK","Jenis tidak cocok"),"Kategori tidak dikenal"))</f>
        <v/>
      </c>
    </row>
    <row r="14" ht="15" customHeight="1" s="33">
      <c r="A14" s="57">
        <f>IF(B14="","",ROW()-4)</f>
        <v/>
      </c>
      <c r="B14" s="58" t="n"/>
      <c r="C14" s="38" t="n"/>
      <c r="D14" s="38" t="n"/>
      <c r="E14" s="38" t="n"/>
      <c r="F14" s="57">
        <f>IF(E14="","",IFERROR(INDEX(Referensi!$C$5:$C$60,MATCH(E14,Referensi!$A$5:$A$60,0)),"?"))</f>
        <v/>
      </c>
      <c r="G14" s="38" t="n"/>
      <c r="H14" s="59" t="n"/>
      <c r="I14" s="38" t="n"/>
      <c r="J14" s="39" t="n"/>
      <c r="K14" s="60">
        <f>IF(J14="","",SUMIFS(J$5:J14,D$5:D14,"Masuk")-SUMIFS(J$5:J14,D$5:D14,"Keluar"))</f>
        <v/>
      </c>
      <c r="L14" s="38" t="n"/>
      <c r="M14" s="38" t="n"/>
      <c r="N14" s="57">
        <f>IF(E14="","",IFERROR(IF(INDEX(Referensi!$B$5:$B$60,MATCH(E14,Referensi!$A$5:$A$60,0))=D14,"OK","Jenis tidak cocok"),"Kategori tidak dikenal"))</f>
        <v/>
      </c>
    </row>
    <row r="15" ht="15" customHeight="1" s="33">
      <c r="A15" s="57">
        <f>IF(B15="","",ROW()-4)</f>
        <v/>
      </c>
      <c r="B15" s="58" t="n"/>
      <c r="C15" s="38" t="n"/>
      <c r="D15" s="38" t="n"/>
      <c r="E15" s="38" t="n"/>
      <c r="F15" s="57">
        <f>IF(E15="","",IFERROR(INDEX(Referensi!$C$5:$C$60,MATCH(E15,Referensi!$A$5:$A$60,0)),"?"))</f>
        <v/>
      </c>
      <c r="G15" s="38" t="n"/>
      <c r="H15" s="59" t="n"/>
      <c r="I15" s="38" t="n"/>
      <c r="J15" s="39" t="n"/>
      <c r="K15" s="60">
        <f>IF(J15="","",SUMIFS(J$5:J15,D$5:D15,"Masuk")-SUMIFS(J$5:J15,D$5:D15,"Keluar"))</f>
        <v/>
      </c>
      <c r="L15" s="38" t="n"/>
      <c r="M15" s="38" t="n"/>
      <c r="N15" s="57">
        <f>IF(E15="","",IFERROR(IF(INDEX(Referensi!$B$5:$B$60,MATCH(E15,Referensi!$A$5:$A$60,0))=D15,"OK","Jenis tidak cocok"),"Kategori tidak dikenal"))</f>
        <v/>
      </c>
    </row>
    <row r="16" ht="15" customHeight="1" s="33">
      <c r="A16" s="57">
        <f>IF(B16="","",ROW()-4)</f>
        <v/>
      </c>
      <c r="B16" s="58" t="n"/>
      <c r="C16" s="38" t="n"/>
      <c r="D16" s="38" t="n"/>
      <c r="E16" s="38" t="n"/>
      <c r="F16" s="57">
        <f>IF(E16="","",IFERROR(INDEX(Referensi!$C$5:$C$60,MATCH(E16,Referensi!$A$5:$A$60,0)),"?"))</f>
        <v/>
      </c>
      <c r="G16" s="38" t="n"/>
      <c r="H16" s="59" t="n"/>
      <c r="I16" s="38" t="n"/>
      <c r="J16" s="39" t="n"/>
      <c r="K16" s="60">
        <f>IF(J16="","",SUMIFS(J$5:J16,D$5:D16,"Masuk")-SUMIFS(J$5:J16,D$5:D16,"Keluar"))</f>
        <v/>
      </c>
      <c r="L16" s="38" t="n"/>
      <c r="M16" s="38" t="n"/>
      <c r="N16" s="57">
        <f>IF(E16="","",IFERROR(IF(INDEX(Referensi!$B$5:$B$60,MATCH(E16,Referensi!$A$5:$A$60,0))=D16,"OK","Jenis tidak cocok"),"Kategori tidak dikenal"))</f>
        <v/>
      </c>
    </row>
    <row r="17" ht="15" customHeight="1" s="33">
      <c r="A17" s="57">
        <f>IF(B17="","",ROW()-4)</f>
        <v/>
      </c>
      <c r="B17" s="58" t="n"/>
      <c r="C17" s="38" t="n"/>
      <c r="D17" s="38" t="n"/>
      <c r="E17" s="38" t="n"/>
      <c r="F17" s="57">
        <f>IF(E17="","",IFERROR(INDEX(Referensi!$C$5:$C$60,MATCH(E17,Referensi!$A$5:$A$60,0)),"?"))</f>
        <v/>
      </c>
      <c r="G17" s="38" t="n"/>
      <c r="H17" s="59" t="n"/>
      <c r="I17" s="38" t="n"/>
      <c r="J17" s="39" t="n"/>
      <c r="K17" s="60">
        <f>IF(J17="","",SUMIFS(J$5:J17,D$5:D17,"Masuk")-SUMIFS(J$5:J17,D$5:D17,"Keluar"))</f>
        <v/>
      </c>
      <c r="L17" s="38" t="n"/>
      <c r="M17" s="38" t="n"/>
      <c r="N17" s="57">
        <f>IF(E17="","",IFERROR(IF(INDEX(Referensi!$B$5:$B$60,MATCH(E17,Referensi!$A$5:$A$60,0))=D17,"OK","Jenis tidak cocok"),"Kategori tidak dikenal"))</f>
        <v/>
      </c>
    </row>
    <row r="18" ht="15" customHeight="1" s="33">
      <c r="A18" s="57">
        <f>IF(B18="","",ROW()-4)</f>
        <v/>
      </c>
      <c r="B18" s="58" t="n"/>
      <c r="C18" s="38" t="n"/>
      <c r="D18" s="38" t="n"/>
      <c r="E18" s="38" t="n"/>
      <c r="F18" s="57">
        <f>IF(E18="","",IFERROR(INDEX(Referensi!$C$5:$C$60,MATCH(E18,Referensi!$A$5:$A$60,0)),"?"))</f>
        <v/>
      </c>
      <c r="G18" s="38" t="n"/>
      <c r="H18" s="59" t="n"/>
      <c r="I18" s="38" t="n"/>
      <c r="J18" s="39" t="n"/>
      <c r="K18" s="60">
        <f>IF(J18="","",SUMIFS(J$5:J18,D$5:D18,"Masuk")-SUMIFS(J$5:J18,D$5:D18,"Keluar"))</f>
        <v/>
      </c>
      <c r="L18" s="38" t="n"/>
      <c r="M18" s="38" t="n"/>
      <c r="N18" s="57">
        <f>IF(E18="","",IFERROR(IF(INDEX(Referensi!$B$5:$B$60,MATCH(E18,Referensi!$A$5:$A$60,0))=D18,"OK","Jenis tidak cocok"),"Kategori tidak dikenal"))</f>
        <v/>
      </c>
    </row>
    <row r="19" ht="15" customHeight="1" s="33">
      <c r="A19" s="57">
        <f>IF(B19="","",ROW()-4)</f>
        <v/>
      </c>
      <c r="B19" s="58" t="n"/>
      <c r="C19" s="38" t="n"/>
      <c r="D19" s="38" t="n"/>
      <c r="E19" s="38" t="n"/>
      <c r="F19" s="57">
        <f>IF(E19="","",IFERROR(INDEX(Referensi!$C$5:$C$60,MATCH(E19,Referensi!$A$5:$A$60,0)),"?"))</f>
        <v/>
      </c>
      <c r="G19" s="38" t="n"/>
      <c r="H19" s="59" t="n"/>
      <c r="I19" s="38" t="n"/>
      <c r="J19" s="39" t="n"/>
      <c r="K19" s="60">
        <f>IF(J19="","",SUMIFS(J$5:J19,D$5:D19,"Masuk")-SUMIFS(J$5:J19,D$5:D19,"Keluar"))</f>
        <v/>
      </c>
      <c r="L19" s="38" t="n"/>
      <c r="M19" s="38" t="n"/>
      <c r="N19" s="57">
        <f>IF(E19="","",IFERROR(IF(INDEX(Referensi!$B$5:$B$60,MATCH(E19,Referensi!$A$5:$A$60,0))=D19,"OK","Jenis tidak cocok"),"Kategori tidak dikenal"))</f>
        <v/>
      </c>
    </row>
    <row r="20" ht="15" customHeight="1" s="33">
      <c r="A20" s="57">
        <f>IF(B20="","",ROW()-4)</f>
        <v/>
      </c>
      <c r="B20" s="58" t="n"/>
      <c r="C20" s="38" t="n"/>
      <c r="D20" s="38" t="n"/>
      <c r="E20" s="38" t="n"/>
      <c r="F20" s="57">
        <f>IF(E20="","",IFERROR(INDEX(Referensi!$C$5:$C$60,MATCH(E20,Referensi!$A$5:$A$60,0)),"?"))</f>
        <v/>
      </c>
      <c r="G20" s="38" t="n"/>
      <c r="H20" s="59" t="n"/>
      <c r="I20" s="38" t="n"/>
      <c r="J20" s="39" t="n"/>
      <c r="K20" s="60">
        <f>IF(J20="","",SUMIFS(J$5:J20,D$5:D20,"Masuk")-SUMIFS(J$5:J20,D$5:D20,"Keluar"))</f>
        <v/>
      </c>
      <c r="L20" s="38" t="n"/>
      <c r="M20" s="38" t="n"/>
      <c r="N20" s="57">
        <f>IF(E20="","",IFERROR(IF(INDEX(Referensi!$B$5:$B$60,MATCH(E20,Referensi!$A$5:$A$60,0))=D20,"OK","Jenis tidak cocok"),"Kategori tidak dikenal"))</f>
        <v/>
      </c>
    </row>
    <row r="21" ht="15" customHeight="1" s="33">
      <c r="A21" s="57">
        <f>IF(B21="","",ROW()-4)</f>
        <v/>
      </c>
      <c r="B21" s="58" t="n"/>
      <c r="C21" s="38" t="n"/>
      <c r="D21" s="38" t="n"/>
      <c r="E21" s="38" t="n"/>
      <c r="F21" s="57">
        <f>IF(E21="","",IFERROR(INDEX(Referensi!$C$5:$C$60,MATCH(E21,Referensi!$A$5:$A$60,0)),"?"))</f>
        <v/>
      </c>
      <c r="G21" s="38" t="n"/>
      <c r="H21" s="59" t="n"/>
      <c r="I21" s="38" t="n"/>
      <c r="J21" s="39" t="n"/>
      <c r="K21" s="60">
        <f>IF(J21="","",SUMIFS(J$5:J21,D$5:D21,"Masuk")-SUMIFS(J$5:J21,D$5:D21,"Keluar"))</f>
        <v/>
      </c>
      <c r="L21" s="38" t="n"/>
      <c r="M21" s="38" t="n"/>
      <c r="N21" s="57">
        <f>IF(E21="","",IFERROR(IF(INDEX(Referensi!$B$5:$B$60,MATCH(E21,Referensi!$A$5:$A$60,0))=D21,"OK","Jenis tidak cocok"),"Kategori tidak dikenal"))</f>
        <v/>
      </c>
    </row>
    <row r="22" ht="15" customHeight="1" s="33">
      <c r="A22" s="57">
        <f>IF(B22="","",ROW()-4)</f>
        <v/>
      </c>
      <c r="B22" s="58" t="n"/>
      <c r="C22" s="38" t="n"/>
      <c r="D22" s="38" t="n"/>
      <c r="E22" s="38" t="n"/>
      <c r="F22" s="57">
        <f>IF(E22="","",IFERROR(INDEX(Referensi!$C$5:$C$60,MATCH(E22,Referensi!$A$5:$A$60,0)),"?"))</f>
        <v/>
      </c>
      <c r="G22" s="38" t="n"/>
      <c r="H22" s="59" t="n"/>
      <c r="I22" s="38" t="n"/>
      <c r="J22" s="39" t="n"/>
      <c r="K22" s="60">
        <f>IF(J22="","",SUMIFS(J$5:J22,D$5:D22,"Masuk")-SUMIFS(J$5:J22,D$5:D22,"Keluar"))</f>
        <v/>
      </c>
      <c r="L22" s="38" t="n"/>
      <c r="M22" s="38" t="n"/>
      <c r="N22" s="57">
        <f>IF(E22="","",IFERROR(IF(INDEX(Referensi!$B$5:$B$60,MATCH(E22,Referensi!$A$5:$A$60,0))=D22,"OK","Jenis tidak cocok"),"Kategori tidak dikenal"))</f>
        <v/>
      </c>
    </row>
    <row r="23" ht="15" customHeight="1" s="33">
      <c r="A23" s="57">
        <f>IF(B23="","",ROW()-4)</f>
        <v/>
      </c>
      <c r="B23" s="58" t="n"/>
      <c r="C23" s="38" t="n"/>
      <c r="D23" s="38" t="n"/>
      <c r="E23" s="38" t="n"/>
      <c r="F23" s="57">
        <f>IF(E23="","",IFERROR(INDEX(Referensi!$C$5:$C$60,MATCH(E23,Referensi!$A$5:$A$60,0)),"?"))</f>
        <v/>
      </c>
      <c r="G23" s="38" t="n"/>
      <c r="H23" s="59" t="n"/>
      <c r="I23" s="38" t="n"/>
      <c r="J23" s="39" t="n"/>
      <c r="K23" s="60">
        <f>IF(J23="","",SUMIFS(J$5:J23,D$5:D23,"Masuk")-SUMIFS(J$5:J23,D$5:D23,"Keluar"))</f>
        <v/>
      </c>
      <c r="L23" s="38" t="n"/>
      <c r="M23" s="38" t="n"/>
      <c r="N23" s="57">
        <f>IF(E23="","",IFERROR(IF(INDEX(Referensi!$B$5:$B$60,MATCH(E23,Referensi!$A$5:$A$60,0))=D23,"OK","Jenis tidak cocok"),"Kategori tidak dikenal"))</f>
        <v/>
      </c>
    </row>
    <row r="24" ht="15" customHeight="1" s="33">
      <c r="A24" s="57">
        <f>IF(B24="","",ROW()-4)</f>
        <v/>
      </c>
      <c r="B24" s="58" t="n"/>
      <c r="C24" s="38" t="n"/>
      <c r="D24" s="38" t="n"/>
      <c r="E24" s="38" t="n"/>
      <c r="F24" s="57">
        <f>IF(E24="","",IFERROR(INDEX(Referensi!$C$5:$C$60,MATCH(E24,Referensi!$A$5:$A$60,0)),"?"))</f>
        <v/>
      </c>
      <c r="G24" s="38" t="n"/>
      <c r="H24" s="59" t="n"/>
      <c r="I24" s="38" t="n"/>
      <c r="J24" s="39" t="n"/>
      <c r="K24" s="60">
        <f>IF(J24="","",SUMIFS(J$5:J24,D$5:D24,"Masuk")-SUMIFS(J$5:J24,D$5:D24,"Keluar"))</f>
        <v/>
      </c>
      <c r="L24" s="38" t="n"/>
      <c r="M24" s="38" t="n"/>
      <c r="N24" s="57">
        <f>IF(E24="","",IFERROR(IF(INDEX(Referensi!$B$5:$B$60,MATCH(E24,Referensi!$A$5:$A$60,0))=D24,"OK","Jenis tidak cocok"),"Kategori tidak dikenal"))</f>
        <v/>
      </c>
    </row>
    <row r="25" ht="15" customHeight="1" s="33">
      <c r="A25" s="57">
        <f>IF(B25="","",ROW()-4)</f>
        <v/>
      </c>
      <c r="B25" s="58" t="n"/>
      <c r="C25" s="38" t="n"/>
      <c r="D25" s="38" t="n"/>
      <c r="E25" s="38" t="n"/>
      <c r="F25" s="57">
        <f>IF(E25="","",IFERROR(INDEX(Referensi!$C$5:$C$60,MATCH(E25,Referensi!$A$5:$A$60,0)),"?"))</f>
        <v/>
      </c>
      <c r="G25" s="38" t="n"/>
      <c r="H25" s="59" t="n"/>
      <c r="I25" s="38" t="n"/>
      <c r="J25" s="39" t="n"/>
      <c r="K25" s="60">
        <f>IF(J25="","",SUMIFS(J$5:J25,D$5:D25,"Masuk")-SUMIFS(J$5:J25,D$5:D25,"Keluar"))</f>
        <v/>
      </c>
      <c r="L25" s="38" t="n"/>
      <c r="M25" s="38" t="n"/>
      <c r="N25" s="57">
        <f>IF(E25="","",IFERROR(IF(INDEX(Referensi!$B$5:$B$60,MATCH(E25,Referensi!$A$5:$A$60,0))=D25,"OK","Jenis tidak cocok"),"Kategori tidak dikenal"))</f>
        <v/>
      </c>
    </row>
    <row r="26" ht="15" customHeight="1" s="33">
      <c r="A26" s="57">
        <f>IF(B26="","",ROW()-4)</f>
        <v/>
      </c>
      <c r="B26" s="58" t="n"/>
      <c r="C26" s="38" t="n"/>
      <c r="D26" s="38" t="n"/>
      <c r="E26" s="38" t="n"/>
      <c r="F26" s="57">
        <f>IF(E26="","",IFERROR(INDEX(Referensi!$C$5:$C$60,MATCH(E26,Referensi!$A$5:$A$60,0)),"?"))</f>
        <v/>
      </c>
      <c r="G26" s="38" t="n"/>
      <c r="H26" s="59" t="n"/>
      <c r="I26" s="38" t="n"/>
      <c r="J26" s="39" t="n"/>
      <c r="K26" s="60">
        <f>IF(J26="","",SUMIFS(J$5:J26,D$5:D26,"Masuk")-SUMIFS(J$5:J26,D$5:D26,"Keluar"))</f>
        <v/>
      </c>
      <c r="L26" s="38" t="n"/>
      <c r="M26" s="38" t="n"/>
      <c r="N26" s="57">
        <f>IF(E26="","",IFERROR(IF(INDEX(Referensi!$B$5:$B$60,MATCH(E26,Referensi!$A$5:$A$60,0))=D26,"OK","Jenis tidak cocok"),"Kategori tidak dikenal"))</f>
        <v/>
      </c>
    </row>
    <row r="27" ht="15" customHeight="1" s="33">
      <c r="A27" s="57">
        <f>IF(B27="","",ROW()-4)</f>
        <v/>
      </c>
      <c r="B27" s="58" t="n"/>
      <c r="C27" s="38" t="n"/>
      <c r="D27" s="38" t="n"/>
      <c r="E27" s="38" t="n"/>
      <c r="F27" s="57">
        <f>IF(E27="","",IFERROR(INDEX(Referensi!$C$5:$C$60,MATCH(E27,Referensi!$A$5:$A$60,0)),"?"))</f>
        <v/>
      </c>
      <c r="G27" s="38" t="n"/>
      <c r="H27" s="59" t="n"/>
      <c r="I27" s="38" t="n"/>
      <c r="J27" s="39" t="n"/>
      <c r="K27" s="60">
        <f>IF(J27="","",SUMIFS(J$5:J27,D$5:D27,"Masuk")-SUMIFS(J$5:J27,D$5:D27,"Keluar"))</f>
        <v/>
      </c>
      <c r="L27" s="38" t="n"/>
      <c r="M27" s="38" t="n"/>
      <c r="N27" s="57">
        <f>IF(E27="","",IFERROR(IF(INDEX(Referensi!$B$5:$B$60,MATCH(E27,Referensi!$A$5:$A$60,0))=D27,"OK","Jenis tidak cocok"),"Kategori tidak dikenal"))</f>
        <v/>
      </c>
    </row>
    <row r="28" ht="15" customHeight="1" s="33">
      <c r="A28" s="57">
        <f>IF(B28="","",ROW()-4)</f>
        <v/>
      </c>
      <c r="B28" s="58" t="n"/>
      <c r="C28" s="38" t="n"/>
      <c r="D28" s="38" t="n"/>
      <c r="E28" s="38" t="n"/>
      <c r="F28" s="57">
        <f>IF(E28="","",IFERROR(INDEX(Referensi!$C$5:$C$60,MATCH(E28,Referensi!$A$5:$A$60,0)),"?"))</f>
        <v/>
      </c>
      <c r="G28" s="38" t="n"/>
      <c r="H28" s="59" t="n"/>
      <c r="I28" s="38" t="n"/>
      <c r="J28" s="39" t="n"/>
      <c r="K28" s="60">
        <f>IF(J28="","",SUMIFS(J$5:J28,D$5:D28,"Masuk")-SUMIFS(J$5:J28,D$5:D28,"Keluar"))</f>
        <v/>
      </c>
      <c r="L28" s="38" t="n"/>
      <c r="M28" s="38" t="n"/>
      <c r="N28" s="57">
        <f>IF(E28="","",IFERROR(IF(INDEX(Referensi!$B$5:$B$60,MATCH(E28,Referensi!$A$5:$A$60,0))=D28,"OK","Jenis tidak cocok"),"Kategori tidak dikenal"))</f>
        <v/>
      </c>
    </row>
    <row r="29" ht="15" customHeight="1" s="33">
      <c r="A29" s="57">
        <f>IF(B29="","",ROW()-4)</f>
        <v/>
      </c>
      <c r="B29" s="58" t="n"/>
      <c r="C29" s="38" t="n"/>
      <c r="D29" s="38" t="n"/>
      <c r="E29" s="38" t="n"/>
      <c r="F29" s="57">
        <f>IF(E29="","",IFERROR(INDEX(Referensi!$C$5:$C$60,MATCH(E29,Referensi!$A$5:$A$60,0)),"?"))</f>
        <v/>
      </c>
      <c r="G29" s="38" t="n"/>
      <c r="H29" s="59" t="n"/>
      <c r="I29" s="38" t="n"/>
      <c r="J29" s="39" t="n"/>
      <c r="K29" s="60">
        <f>IF(J29="","",SUMIFS(J$5:J29,D$5:D29,"Masuk")-SUMIFS(J$5:J29,D$5:D29,"Keluar"))</f>
        <v/>
      </c>
      <c r="L29" s="38" t="n"/>
      <c r="M29" s="38" t="n"/>
      <c r="N29" s="57">
        <f>IF(E29="","",IFERROR(IF(INDEX(Referensi!$B$5:$B$60,MATCH(E29,Referensi!$A$5:$A$60,0))=D29,"OK","Jenis tidak cocok"),"Kategori tidak dikenal"))</f>
        <v/>
      </c>
    </row>
    <row r="30" ht="15" customHeight="1" s="33">
      <c r="A30" s="57">
        <f>IF(B30="","",ROW()-4)</f>
        <v/>
      </c>
      <c r="B30" s="58" t="n"/>
      <c r="C30" s="38" t="n"/>
      <c r="D30" s="38" t="n"/>
      <c r="E30" s="38" t="n"/>
      <c r="F30" s="57">
        <f>IF(E30="","",IFERROR(INDEX(Referensi!$C$5:$C$60,MATCH(E30,Referensi!$A$5:$A$60,0)),"?"))</f>
        <v/>
      </c>
      <c r="G30" s="38" t="n"/>
      <c r="H30" s="59" t="n"/>
      <c r="I30" s="38" t="n"/>
      <c r="J30" s="39" t="n"/>
      <c r="K30" s="60">
        <f>IF(J30="","",SUMIFS(J$5:J30,D$5:D30,"Masuk")-SUMIFS(J$5:J30,D$5:D30,"Keluar"))</f>
        <v/>
      </c>
      <c r="L30" s="38" t="n"/>
      <c r="M30" s="38" t="n"/>
      <c r="N30" s="57">
        <f>IF(E30="","",IFERROR(IF(INDEX(Referensi!$B$5:$B$60,MATCH(E30,Referensi!$A$5:$A$60,0))=D30,"OK","Jenis tidak cocok"),"Kategori tidak dikenal"))</f>
        <v/>
      </c>
    </row>
    <row r="31" ht="15" customHeight="1" s="33">
      <c r="A31" s="57">
        <f>IF(B31="","",ROW()-4)</f>
        <v/>
      </c>
      <c r="B31" s="58" t="n"/>
      <c r="C31" s="38" t="n"/>
      <c r="D31" s="38" t="n"/>
      <c r="E31" s="38" t="n"/>
      <c r="F31" s="57">
        <f>IF(E31="","",IFERROR(INDEX(Referensi!$C$5:$C$60,MATCH(E31,Referensi!$A$5:$A$60,0)),"?"))</f>
        <v/>
      </c>
      <c r="G31" s="38" t="n"/>
      <c r="H31" s="59" t="n"/>
      <c r="I31" s="38" t="n"/>
      <c r="J31" s="39" t="n"/>
      <c r="K31" s="60">
        <f>IF(J31="","",SUMIFS(J$5:J31,D$5:D31,"Masuk")-SUMIFS(J$5:J31,D$5:D31,"Keluar"))</f>
        <v/>
      </c>
      <c r="L31" s="38" t="n"/>
      <c r="M31" s="38" t="n"/>
      <c r="N31" s="57">
        <f>IF(E31="","",IFERROR(IF(INDEX(Referensi!$B$5:$B$60,MATCH(E31,Referensi!$A$5:$A$60,0))=D31,"OK","Jenis tidak cocok"),"Kategori tidak dikenal"))</f>
        <v/>
      </c>
    </row>
    <row r="32" ht="15" customHeight="1" s="33">
      <c r="A32" s="57">
        <f>IF(B32="","",ROW()-4)</f>
        <v/>
      </c>
      <c r="B32" s="58" t="n"/>
      <c r="C32" s="38" t="n"/>
      <c r="D32" s="38" t="n"/>
      <c r="E32" s="38" t="n"/>
      <c r="F32" s="57">
        <f>IF(E32="","",IFERROR(INDEX(Referensi!$C$5:$C$60,MATCH(E32,Referensi!$A$5:$A$60,0)),"?"))</f>
        <v/>
      </c>
      <c r="G32" s="38" t="n"/>
      <c r="H32" s="59" t="n"/>
      <c r="I32" s="38" t="n"/>
      <c r="J32" s="39" t="n"/>
      <c r="K32" s="60">
        <f>IF(J32="","",SUMIFS(J$5:J32,D$5:D32,"Masuk")-SUMIFS(J$5:J32,D$5:D32,"Keluar"))</f>
        <v/>
      </c>
      <c r="L32" s="38" t="n"/>
      <c r="M32" s="38" t="n"/>
      <c r="N32" s="57">
        <f>IF(E32="","",IFERROR(IF(INDEX(Referensi!$B$5:$B$60,MATCH(E32,Referensi!$A$5:$A$60,0))=D32,"OK","Jenis tidak cocok"),"Kategori tidak dikenal"))</f>
        <v/>
      </c>
    </row>
    <row r="33" ht="15" customHeight="1" s="33">
      <c r="A33" s="57">
        <f>IF(B33="","",ROW()-4)</f>
        <v/>
      </c>
      <c r="B33" s="58" t="n"/>
      <c r="C33" s="38" t="n"/>
      <c r="D33" s="38" t="n"/>
      <c r="E33" s="38" t="n"/>
      <c r="F33" s="57">
        <f>IF(E33="","",IFERROR(INDEX(Referensi!$C$5:$C$60,MATCH(E33,Referensi!$A$5:$A$60,0)),"?"))</f>
        <v/>
      </c>
      <c r="G33" s="38" t="n"/>
      <c r="H33" s="59" t="n"/>
      <c r="I33" s="38" t="n"/>
      <c r="J33" s="39" t="n"/>
      <c r="K33" s="60">
        <f>IF(J33="","",SUMIFS(J$5:J33,D$5:D33,"Masuk")-SUMIFS(J$5:J33,D$5:D33,"Keluar"))</f>
        <v/>
      </c>
      <c r="L33" s="38" t="n"/>
      <c r="M33" s="38" t="n"/>
      <c r="N33" s="57">
        <f>IF(E33="","",IFERROR(IF(INDEX(Referensi!$B$5:$B$60,MATCH(E33,Referensi!$A$5:$A$60,0))=D33,"OK","Jenis tidak cocok"),"Kategori tidak dikenal"))</f>
        <v/>
      </c>
    </row>
    <row r="34" ht="15" customHeight="1" s="33">
      <c r="A34" s="57">
        <f>IF(B34="","",ROW()-4)</f>
        <v/>
      </c>
      <c r="B34" s="58" t="n"/>
      <c r="C34" s="38" t="n"/>
      <c r="D34" s="38" t="n"/>
      <c r="E34" s="38" t="n"/>
      <c r="F34" s="57">
        <f>IF(E34="","",IFERROR(INDEX(Referensi!$C$5:$C$60,MATCH(E34,Referensi!$A$5:$A$60,0)),"?"))</f>
        <v/>
      </c>
      <c r="G34" s="38" t="n"/>
      <c r="H34" s="59" t="n"/>
      <c r="I34" s="38" t="n"/>
      <c r="J34" s="39" t="n"/>
      <c r="K34" s="60">
        <f>IF(J34="","",SUMIFS(J$5:J34,D$5:D34,"Masuk")-SUMIFS(J$5:J34,D$5:D34,"Keluar"))</f>
        <v/>
      </c>
      <c r="L34" s="38" t="n"/>
      <c r="M34" s="38" t="n"/>
      <c r="N34" s="57">
        <f>IF(E34="","",IFERROR(IF(INDEX(Referensi!$B$5:$B$60,MATCH(E34,Referensi!$A$5:$A$60,0))=D34,"OK","Jenis tidak cocok"),"Kategori tidak dikenal"))</f>
        <v/>
      </c>
    </row>
    <row r="35" ht="15" customHeight="1" s="33">
      <c r="A35" s="57">
        <f>IF(B35="","",ROW()-4)</f>
        <v/>
      </c>
      <c r="B35" s="58" t="n"/>
      <c r="C35" s="38" t="n"/>
      <c r="D35" s="38" t="n"/>
      <c r="E35" s="38" t="n"/>
      <c r="F35" s="57">
        <f>IF(E35="","",IFERROR(INDEX(Referensi!$C$5:$C$60,MATCH(E35,Referensi!$A$5:$A$60,0)),"?"))</f>
        <v/>
      </c>
      <c r="G35" s="38" t="n"/>
      <c r="H35" s="59" t="n"/>
      <c r="I35" s="38" t="n"/>
      <c r="J35" s="39" t="n"/>
      <c r="K35" s="60">
        <f>IF(J35="","",SUMIFS(J$5:J35,D$5:D35,"Masuk")-SUMIFS(J$5:J35,D$5:D35,"Keluar"))</f>
        <v/>
      </c>
      <c r="L35" s="38" t="n"/>
      <c r="M35" s="38" t="n"/>
      <c r="N35" s="57">
        <f>IF(E35="","",IFERROR(IF(INDEX(Referensi!$B$5:$B$60,MATCH(E35,Referensi!$A$5:$A$60,0))=D35,"OK","Jenis tidak cocok"),"Kategori tidak dikenal"))</f>
        <v/>
      </c>
    </row>
    <row r="36" ht="15" customHeight="1" s="33">
      <c r="A36" s="57">
        <f>IF(B36="","",ROW()-4)</f>
        <v/>
      </c>
      <c r="B36" s="58" t="n"/>
      <c r="C36" s="38" t="n"/>
      <c r="D36" s="38" t="n"/>
      <c r="E36" s="38" t="n"/>
      <c r="F36" s="57">
        <f>IF(E36="","",IFERROR(INDEX(Referensi!$C$5:$C$60,MATCH(E36,Referensi!$A$5:$A$60,0)),"?"))</f>
        <v/>
      </c>
      <c r="G36" s="38" t="n"/>
      <c r="H36" s="59" t="n"/>
      <c r="I36" s="38" t="n"/>
      <c r="J36" s="39" t="n"/>
      <c r="K36" s="60">
        <f>IF(J36="","",SUMIFS(J$5:J36,D$5:D36,"Masuk")-SUMIFS(J$5:J36,D$5:D36,"Keluar"))</f>
        <v/>
      </c>
      <c r="L36" s="38" t="n"/>
      <c r="M36" s="38" t="n"/>
      <c r="N36" s="57">
        <f>IF(E36="","",IFERROR(IF(INDEX(Referensi!$B$5:$B$60,MATCH(E36,Referensi!$A$5:$A$60,0))=D36,"OK","Jenis tidak cocok"),"Kategori tidak dikenal"))</f>
        <v/>
      </c>
    </row>
    <row r="37" ht="15" customHeight="1" s="33">
      <c r="A37" s="57">
        <f>IF(B37="","",ROW()-4)</f>
        <v/>
      </c>
      <c r="B37" s="58" t="n"/>
      <c r="C37" s="38" t="n"/>
      <c r="D37" s="38" t="n"/>
      <c r="E37" s="38" t="n"/>
      <c r="F37" s="57">
        <f>IF(E37="","",IFERROR(INDEX(Referensi!$C$5:$C$60,MATCH(E37,Referensi!$A$5:$A$60,0)),"?"))</f>
        <v/>
      </c>
      <c r="G37" s="38" t="n"/>
      <c r="H37" s="59" t="n"/>
      <c r="I37" s="38" t="n"/>
      <c r="J37" s="39" t="n"/>
      <c r="K37" s="60">
        <f>IF(J37="","",SUMIFS(J$5:J37,D$5:D37,"Masuk")-SUMIFS(J$5:J37,D$5:D37,"Keluar"))</f>
        <v/>
      </c>
      <c r="L37" s="38" t="n"/>
      <c r="M37" s="38" t="n"/>
      <c r="N37" s="57">
        <f>IF(E37="","",IFERROR(IF(INDEX(Referensi!$B$5:$B$60,MATCH(E37,Referensi!$A$5:$A$60,0))=D37,"OK","Jenis tidak cocok"),"Kategori tidak dikenal"))</f>
        <v/>
      </c>
    </row>
    <row r="38" ht="15" customHeight="1" s="33">
      <c r="A38" s="57">
        <f>IF(B38="","",ROW()-4)</f>
        <v/>
      </c>
      <c r="B38" s="58" t="n"/>
      <c r="C38" s="38" t="n"/>
      <c r="D38" s="38" t="n"/>
      <c r="E38" s="38" t="n"/>
      <c r="F38" s="57">
        <f>IF(E38="","",IFERROR(INDEX(Referensi!$C$5:$C$60,MATCH(E38,Referensi!$A$5:$A$60,0)),"?"))</f>
        <v/>
      </c>
      <c r="G38" s="38" t="n"/>
      <c r="H38" s="59" t="n"/>
      <c r="I38" s="38" t="n"/>
      <c r="J38" s="39" t="n"/>
      <c r="K38" s="60">
        <f>IF(J38="","",SUMIFS(J$5:J38,D$5:D38,"Masuk")-SUMIFS(J$5:J38,D$5:D38,"Keluar"))</f>
        <v/>
      </c>
      <c r="L38" s="38" t="n"/>
      <c r="M38" s="38" t="n"/>
      <c r="N38" s="57">
        <f>IF(E38="","",IFERROR(IF(INDEX(Referensi!$B$5:$B$60,MATCH(E38,Referensi!$A$5:$A$60,0))=D38,"OK","Jenis tidak cocok"),"Kategori tidak dikenal"))</f>
        <v/>
      </c>
    </row>
    <row r="39" ht="15" customHeight="1" s="33">
      <c r="A39" s="57">
        <f>IF(B39="","",ROW()-4)</f>
        <v/>
      </c>
      <c r="B39" s="58" t="n"/>
      <c r="C39" s="38" t="n"/>
      <c r="D39" s="38" t="n"/>
      <c r="E39" s="38" t="n"/>
      <c r="F39" s="57">
        <f>IF(E39="","",IFERROR(INDEX(Referensi!$C$5:$C$60,MATCH(E39,Referensi!$A$5:$A$60,0)),"?"))</f>
        <v/>
      </c>
      <c r="G39" s="38" t="n"/>
      <c r="H39" s="59" t="n"/>
      <c r="I39" s="38" t="n"/>
      <c r="J39" s="39" t="n"/>
      <c r="K39" s="60">
        <f>IF(J39="","",SUMIFS(J$5:J39,D$5:D39,"Masuk")-SUMIFS(J$5:J39,D$5:D39,"Keluar"))</f>
        <v/>
      </c>
      <c r="L39" s="38" t="n"/>
      <c r="M39" s="38" t="n"/>
      <c r="N39" s="57">
        <f>IF(E39="","",IFERROR(IF(INDEX(Referensi!$B$5:$B$60,MATCH(E39,Referensi!$A$5:$A$60,0))=D39,"OK","Jenis tidak cocok"),"Kategori tidak dikenal"))</f>
        <v/>
      </c>
    </row>
    <row r="40" ht="15" customHeight="1" s="33">
      <c r="A40" s="57">
        <f>IF(B40="","",ROW()-4)</f>
        <v/>
      </c>
      <c r="B40" s="58" t="n"/>
      <c r="C40" s="38" t="n"/>
      <c r="D40" s="38" t="n"/>
      <c r="E40" s="38" t="n"/>
      <c r="F40" s="57">
        <f>IF(E40="","",IFERROR(INDEX(Referensi!$C$5:$C$60,MATCH(E40,Referensi!$A$5:$A$60,0)),"?"))</f>
        <v/>
      </c>
      <c r="G40" s="38" t="n"/>
      <c r="H40" s="59" t="n"/>
      <c r="I40" s="38" t="n"/>
      <c r="J40" s="39" t="n"/>
      <c r="K40" s="60">
        <f>IF(J40="","",SUMIFS(J$5:J40,D$5:D40,"Masuk")-SUMIFS(J$5:J40,D$5:D40,"Keluar"))</f>
        <v/>
      </c>
      <c r="L40" s="38" t="n"/>
      <c r="M40" s="38" t="n"/>
      <c r="N40" s="57">
        <f>IF(E40="","",IFERROR(IF(INDEX(Referensi!$B$5:$B$60,MATCH(E40,Referensi!$A$5:$A$60,0))=D40,"OK","Jenis tidak cocok"),"Kategori tidak dikenal"))</f>
        <v/>
      </c>
    </row>
    <row r="41" ht="15" customHeight="1" s="33">
      <c r="A41" s="57">
        <f>IF(B41="","",ROW()-4)</f>
        <v/>
      </c>
      <c r="B41" s="58" t="n"/>
      <c r="C41" s="38" t="n"/>
      <c r="D41" s="38" t="n"/>
      <c r="E41" s="38" t="n"/>
      <c r="F41" s="57">
        <f>IF(E41="","",IFERROR(INDEX(Referensi!$C$5:$C$60,MATCH(E41,Referensi!$A$5:$A$60,0)),"?"))</f>
        <v/>
      </c>
      <c r="G41" s="38" t="n"/>
      <c r="H41" s="59" t="n"/>
      <c r="I41" s="38" t="n"/>
      <c r="J41" s="39" t="n"/>
      <c r="K41" s="60">
        <f>IF(J41="","",SUMIFS(J$5:J41,D$5:D41,"Masuk")-SUMIFS(J$5:J41,D$5:D41,"Keluar"))</f>
        <v/>
      </c>
      <c r="L41" s="38" t="n"/>
      <c r="M41" s="38" t="n"/>
      <c r="N41" s="57">
        <f>IF(E41="","",IFERROR(IF(INDEX(Referensi!$B$5:$B$60,MATCH(E41,Referensi!$A$5:$A$60,0))=D41,"OK","Jenis tidak cocok"),"Kategori tidak dikenal"))</f>
        <v/>
      </c>
    </row>
    <row r="42" ht="15" customHeight="1" s="33">
      <c r="A42" s="57">
        <f>IF(B42="","",ROW()-4)</f>
        <v/>
      </c>
      <c r="B42" s="58" t="n"/>
      <c r="C42" s="38" t="n"/>
      <c r="D42" s="38" t="n"/>
      <c r="E42" s="38" t="n"/>
      <c r="F42" s="57">
        <f>IF(E42="","",IFERROR(INDEX(Referensi!$C$5:$C$60,MATCH(E42,Referensi!$A$5:$A$60,0)),"?"))</f>
        <v/>
      </c>
      <c r="G42" s="38" t="n"/>
      <c r="H42" s="59" t="n"/>
      <c r="I42" s="38" t="n"/>
      <c r="J42" s="39" t="n"/>
      <c r="K42" s="60">
        <f>IF(J42="","",SUMIFS(J$5:J42,D$5:D42,"Masuk")-SUMIFS(J$5:J42,D$5:D42,"Keluar"))</f>
        <v/>
      </c>
      <c r="L42" s="38" t="n"/>
      <c r="M42" s="38" t="n"/>
      <c r="N42" s="57">
        <f>IF(E42="","",IFERROR(IF(INDEX(Referensi!$B$5:$B$60,MATCH(E42,Referensi!$A$5:$A$60,0))=D42,"OK","Jenis tidak cocok"),"Kategori tidak dikenal"))</f>
        <v/>
      </c>
    </row>
    <row r="43" ht="15" customHeight="1" s="33">
      <c r="A43" s="57">
        <f>IF(B43="","",ROW()-4)</f>
        <v/>
      </c>
      <c r="B43" s="58" t="n"/>
      <c r="C43" s="38" t="n"/>
      <c r="D43" s="38" t="n"/>
      <c r="E43" s="38" t="n"/>
      <c r="F43" s="57">
        <f>IF(E43="","",IFERROR(INDEX(Referensi!$C$5:$C$60,MATCH(E43,Referensi!$A$5:$A$60,0)),"?"))</f>
        <v/>
      </c>
      <c r="G43" s="38" t="n"/>
      <c r="H43" s="59" t="n"/>
      <c r="I43" s="38" t="n"/>
      <c r="J43" s="39" t="n"/>
      <c r="K43" s="60">
        <f>IF(J43="","",SUMIFS(J$5:J43,D$5:D43,"Masuk")-SUMIFS(J$5:J43,D$5:D43,"Keluar"))</f>
        <v/>
      </c>
      <c r="L43" s="38" t="n"/>
      <c r="M43" s="38" t="n"/>
      <c r="N43" s="57">
        <f>IF(E43="","",IFERROR(IF(INDEX(Referensi!$B$5:$B$60,MATCH(E43,Referensi!$A$5:$A$60,0))=D43,"OK","Jenis tidak cocok"),"Kategori tidak dikenal"))</f>
        <v/>
      </c>
    </row>
    <row r="44" ht="15" customHeight="1" s="33">
      <c r="A44" s="57">
        <f>IF(B44="","",ROW()-4)</f>
        <v/>
      </c>
      <c r="B44" s="58" t="n"/>
      <c r="C44" s="38" t="n"/>
      <c r="D44" s="38" t="n"/>
      <c r="E44" s="38" t="n"/>
      <c r="F44" s="57">
        <f>IF(E44="","",IFERROR(INDEX(Referensi!$C$5:$C$60,MATCH(E44,Referensi!$A$5:$A$60,0)),"?"))</f>
        <v/>
      </c>
      <c r="G44" s="38" t="n"/>
      <c r="H44" s="59" t="n"/>
      <c r="I44" s="38" t="n"/>
      <c r="J44" s="39" t="n"/>
      <c r="K44" s="60">
        <f>IF(J44="","",SUMIFS(J$5:J44,D$5:D44,"Masuk")-SUMIFS(J$5:J44,D$5:D44,"Keluar"))</f>
        <v/>
      </c>
      <c r="L44" s="38" t="n"/>
      <c r="M44" s="38" t="n"/>
      <c r="N44" s="57">
        <f>IF(E44="","",IFERROR(IF(INDEX(Referensi!$B$5:$B$60,MATCH(E44,Referensi!$A$5:$A$60,0))=D44,"OK","Jenis tidak cocok"),"Kategori tidak dikenal"))</f>
        <v/>
      </c>
    </row>
    <row r="45" ht="15" customHeight="1" s="33">
      <c r="A45" s="57">
        <f>IF(B45="","",ROW()-4)</f>
        <v/>
      </c>
      <c r="B45" s="58" t="n"/>
      <c r="C45" s="38" t="n"/>
      <c r="D45" s="38" t="n"/>
      <c r="E45" s="38" t="n"/>
      <c r="F45" s="57">
        <f>IF(E45="","",IFERROR(INDEX(Referensi!$C$5:$C$60,MATCH(E45,Referensi!$A$5:$A$60,0)),"?"))</f>
        <v/>
      </c>
      <c r="G45" s="38" t="n"/>
      <c r="H45" s="59" t="n"/>
      <c r="I45" s="38" t="n"/>
      <c r="J45" s="39" t="n"/>
      <c r="K45" s="60">
        <f>IF(J45="","",SUMIFS(J$5:J45,D$5:D45,"Masuk")-SUMIFS(J$5:J45,D$5:D45,"Keluar"))</f>
        <v/>
      </c>
      <c r="L45" s="38" t="n"/>
      <c r="M45" s="38" t="n"/>
      <c r="N45" s="57">
        <f>IF(E45="","",IFERROR(IF(INDEX(Referensi!$B$5:$B$60,MATCH(E45,Referensi!$A$5:$A$60,0))=D45,"OK","Jenis tidak cocok"),"Kategori tidak dikenal"))</f>
        <v/>
      </c>
    </row>
    <row r="46" ht="15" customHeight="1" s="33">
      <c r="A46" s="57">
        <f>IF(B46="","",ROW()-4)</f>
        <v/>
      </c>
      <c r="B46" s="58" t="n"/>
      <c r="C46" s="38" t="n"/>
      <c r="D46" s="38" t="n"/>
      <c r="E46" s="38" t="n"/>
      <c r="F46" s="57">
        <f>IF(E46="","",IFERROR(INDEX(Referensi!$C$5:$C$60,MATCH(E46,Referensi!$A$5:$A$60,0)),"?"))</f>
        <v/>
      </c>
      <c r="G46" s="38" t="n"/>
      <c r="H46" s="59" t="n"/>
      <c r="I46" s="38" t="n"/>
      <c r="J46" s="39" t="n"/>
      <c r="K46" s="60">
        <f>IF(J46="","",SUMIFS(J$5:J46,D$5:D46,"Masuk")-SUMIFS(J$5:J46,D$5:D46,"Keluar"))</f>
        <v/>
      </c>
      <c r="L46" s="38" t="n"/>
      <c r="M46" s="38" t="n"/>
      <c r="N46" s="57">
        <f>IF(E46="","",IFERROR(IF(INDEX(Referensi!$B$5:$B$60,MATCH(E46,Referensi!$A$5:$A$60,0))=D46,"OK","Jenis tidak cocok"),"Kategori tidak dikenal"))</f>
        <v/>
      </c>
    </row>
    <row r="47" ht="15" customHeight="1" s="33">
      <c r="A47" s="57">
        <f>IF(B47="","",ROW()-4)</f>
        <v/>
      </c>
      <c r="B47" s="58" t="n"/>
      <c r="C47" s="38" t="n"/>
      <c r="D47" s="38" t="n"/>
      <c r="E47" s="38" t="n"/>
      <c r="F47" s="57">
        <f>IF(E47="","",IFERROR(INDEX(Referensi!$C$5:$C$60,MATCH(E47,Referensi!$A$5:$A$60,0)),"?"))</f>
        <v/>
      </c>
      <c r="G47" s="38" t="n"/>
      <c r="H47" s="59" t="n"/>
      <c r="I47" s="38" t="n"/>
      <c r="J47" s="39" t="n"/>
      <c r="K47" s="60">
        <f>IF(J47="","",SUMIFS(J$5:J47,D$5:D47,"Masuk")-SUMIFS(J$5:J47,D$5:D47,"Keluar"))</f>
        <v/>
      </c>
      <c r="L47" s="38" t="n"/>
      <c r="M47" s="38" t="n"/>
      <c r="N47" s="57">
        <f>IF(E47="","",IFERROR(IF(INDEX(Referensi!$B$5:$B$60,MATCH(E47,Referensi!$A$5:$A$60,0))=D47,"OK","Jenis tidak cocok"),"Kategori tidak dikenal"))</f>
        <v/>
      </c>
    </row>
    <row r="48" ht="15" customHeight="1" s="33">
      <c r="A48" s="57">
        <f>IF(B48="","",ROW()-4)</f>
        <v/>
      </c>
      <c r="B48" s="58" t="n"/>
      <c r="C48" s="38" t="n"/>
      <c r="D48" s="38" t="n"/>
      <c r="E48" s="38" t="n"/>
      <c r="F48" s="57">
        <f>IF(E48="","",IFERROR(INDEX(Referensi!$C$5:$C$60,MATCH(E48,Referensi!$A$5:$A$60,0)),"?"))</f>
        <v/>
      </c>
      <c r="G48" s="38" t="n"/>
      <c r="H48" s="59" t="n"/>
      <c r="I48" s="38" t="n"/>
      <c r="J48" s="39" t="n"/>
      <c r="K48" s="60">
        <f>IF(J48="","",SUMIFS(J$5:J48,D$5:D48,"Masuk")-SUMIFS(J$5:J48,D$5:D48,"Keluar"))</f>
        <v/>
      </c>
      <c r="L48" s="38" t="n"/>
      <c r="M48" s="38" t="n"/>
      <c r="N48" s="57">
        <f>IF(E48="","",IFERROR(IF(INDEX(Referensi!$B$5:$B$60,MATCH(E48,Referensi!$A$5:$A$60,0))=D48,"OK","Jenis tidak cocok"),"Kategori tidak dikenal"))</f>
        <v/>
      </c>
    </row>
    <row r="49" ht="15" customHeight="1" s="33">
      <c r="A49" s="57">
        <f>IF(B49="","",ROW()-4)</f>
        <v/>
      </c>
      <c r="B49" s="58" t="n"/>
      <c r="C49" s="38" t="n"/>
      <c r="D49" s="38" t="n"/>
      <c r="E49" s="38" t="n"/>
      <c r="F49" s="57">
        <f>IF(E49="","",IFERROR(INDEX(Referensi!$C$5:$C$60,MATCH(E49,Referensi!$A$5:$A$60,0)),"?"))</f>
        <v/>
      </c>
      <c r="G49" s="38" t="n"/>
      <c r="H49" s="59" t="n"/>
      <c r="I49" s="38" t="n"/>
      <c r="J49" s="39" t="n"/>
      <c r="K49" s="60">
        <f>IF(J49="","",SUMIFS(J$5:J49,D$5:D49,"Masuk")-SUMIFS(J$5:J49,D$5:D49,"Keluar"))</f>
        <v/>
      </c>
      <c r="L49" s="38" t="n"/>
      <c r="M49" s="38" t="n"/>
      <c r="N49" s="57">
        <f>IF(E49="","",IFERROR(IF(INDEX(Referensi!$B$5:$B$60,MATCH(E49,Referensi!$A$5:$A$60,0))=D49,"OK","Jenis tidak cocok"),"Kategori tidak dikenal"))</f>
        <v/>
      </c>
    </row>
    <row r="50" ht="15" customHeight="1" s="33">
      <c r="A50" s="57">
        <f>IF(B50="","",ROW()-4)</f>
        <v/>
      </c>
      <c r="B50" s="58" t="n"/>
      <c r="C50" s="38" t="n"/>
      <c r="D50" s="38" t="n"/>
      <c r="E50" s="38" t="n"/>
      <c r="F50" s="57">
        <f>IF(E50="","",IFERROR(INDEX(Referensi!$C$5:$C$60,MATCH(E50,Referensi!$A$5:$A$60,0)),"?"))</f>
        <v/>
      </c>
      <c r="G50" s="38" t="n"/>
      <c r="H50" s="59" t="n"/>
      <c r="I50" s="38" t="n"/>
      <c r="J50" s="39" t="n"/>
      <c r="K50" s="60">
        <f>IF(J50="","",SUMIFS(J$5:J50,D$5:D50,"Masuk")-SUMIFS(J$5:J50,D$5:D50,"Keluar"))</f>
        <v/>
      </c>
      <c r="L50" s="38" t="n"/>
      <c r="M50" s="38" t="n"/>
      <c r="N50" s="57">
        <f>IF(E50="","",IFERROR(IF(INDEX(Referensi!$B$5:$B$60,MATCH(E50,Referensi!$A$5:$A$60,0))=D50,"OK","Jenis tidak cocok"),"Kategori tidak dikenal"))</f>
        <v/>
      </c>
    </row>
    <row r="51" ht="15" customHeight="1" s="33">
      <c r="A51" s="57">
        <f>IF(B51="","",ROW()-4)</f>
        <v/>
      </c>
      <c r="B51" s="58" t="n"/>
      <c r="C51" s="38" t="n"/>
      <c r="D51" s="38" t="n"/>
      <c r="E51" s="38" t="n"/>
      <c r="F51" s="57">
        <f>IF(E51="","",IFERROR(INDEX(Referensi!$C$5:$C$60,MATCH(E51,Referensi!$A$5:$A$60,0)),"?"))</f>
        <v/>
      </c>
      <c r="G51" s="38" t="n"/>
      <c r="H51" s="59" t="n"/>
      <c r="I51" s="38" t="n"/>
      <c r="J51" s="39" t="n"/>
      <c r="K51" s="60">
        <f>IF(J51="","",SUMIFS(J$5:J51,D$5:D51,"Masuk")-SUMIFS(J$5:J51,D$5:D51,"Keluar"))</f>
        <v/>
      </c>
      <c r="L51" s="38" t="n"/>
      <c r="M51" s="38" t="n"/>
      <c r="N51" s="57">
        <f>IF(E51="","",IFERROR(IF(INDEX(Referensi!$B$5:$B$60,MATCH(E51,Referensi!$A$5:$A$60,0))=D51,"OK","Jenis tidak cocok"),"Kategori tidak dikenal"))</f>
        <v/>
      </c>
    </row>
    <row r="52" ht="15" customHeight="1" s="33">
      <c r="A52" s="57">
        <f>IF(B52="","",ROW()-4)</f>
        <v/>
      </c>
      <c r="B52" s="58" t="n"/>
      <c r="C52" s="38" t="n"/>
      <c r="D52" s="38" t="n"/>
      <c r="E52" s="38" t="n"/>
      <c r="F52" s="57">
        <f>IF(E52="","",IFERROR(INDEX(Referensi!$C$5:$C$60,MATCH(E52,Referensi!$A$5:$A$60,0)),"?"))</f>
        <v/>
      </c>
      <c r="G52" s="38" t="n"/>
      <c r="H52" s="59" t="n"/>
      <c r="I52" s="38" t="n"/>
      <c r="J52" s="39" t="n"/>
      <c r="K52" s="60">
        <f>IF(J52="","",SUMIFS(J$5:J52,D$5:D52,"Masuk")-SUMIFS(J$5:J52,D$5:D52,"Keluar"))</f>
        <v/>
      </c>
      <c r="L52" s="38" t="n"/>
      <c r="M52" s="38" t="n"/>
      <c r="N52" s="57">
        <f>IF(E52="","",IFERROR(IF(INDEX(Referensi!$B$5:$B$60,MATCH(E52,Referensi!$A$5:$A$60,0))=D52,"OK","Jenis tidak cocok"),"Kategori tidak dikenal"))</f>
        <v/>
      </c>
    </row>
    <row r="53" ht="15" customHeight="1" s="33">
      <c r="A53" s="57">
        <f>IF(B53="","",ROW()-4)</f>
        <v/>
      </c>
      <c r="B53" s="58" t="n"/>
      <c r="C53" s="38" t="n"/>
      <c r="D53" s="38" t="n"/>
      <c r="E53" s="38" t="n"/>
      <c r="F53" s="57">
        <f>IF(E53="","",IFERROR(INDEX(Referensi!$C$5:$C$60,MATCH(E53,Referensi!$A$5:$A$60,0)),"?"))</f>
        <v/>
      </c>
      <c r="G53" s="38" t="n"/>
      <c r="H53" s="59" t="n"/>
      <c r="I53" s="38" t="n"/>
      <c r="J53" s="39" t="n"/>
      <c r="K53" s="60">
        <f>IF(J53="","",SUMIFS(J$5:J53,D$5:D53,"Masuk")-SUMIFS(J$5:J53,D$5:D53,"Keluar"))</f>
        <v/>
      </c>
      <c r="L53" s="38" t="n"/>
      <c r="M53" s="38" t="n"/>
      <c r="N53" s="57">
        <f>IF(E53="","",IFERROR(IF(INDEX(Referensi!$B$5:$B$60,MATCH(E53,Referensi!$A$5:$A$60,0))=D53,"OK","Jenis tidak cocok"),"Kategori tidak dikenal"))</f>
        <v/>
      </c>
    </row>
    <row r="54" ht="15" customHeight="1" s="33">
      <c r="A54" s="57">
        <f>IF(B54="","",ROW()-4)</f>
        <v/>
      </c>
      <c r="B54" s="58" t="n"/>
      <c r="C54" s="38" t="n"/>
      <c r="D54" s="38" t="n"/>
      <c r="E54" s="38" t="n"/>
      <c r="F54" s="57">
        <f>IF(E54="","",IFERROR(INDEX(Referensi!$C$5:$C$60,MATCH(E54,Referensi!$A$5:$A$60,0)),"?"))</f>
        <v/>
      </c>
      <c r="G54" s="38" t="n"/>
      <c r="H54" s="59" t="n"/>
      <c r="I54" s="38" t="n"/>
      <c r="J54" s="39" t="n"/>
      <c r="K54" s="60">
        <f>IF(J54="","",SUMIFS(J$5:J54,D$5:D54,"Masuk")-SUMIFS(J$5:J54,D$5:D54,"Keluar"))</f>
        <v/>
      </c>
      <c r="L54" s="38" t="n"/>
      <c r="M54" s="38" t="n"/>
      <c r="N54" s="57">
        <f>IF(E54="","",IFERROR(IF(INDEX(Referensi!$B$5:$B$60,MATCH(E54,Referensi!$A$5:$A$60,0))=D54,"OK","Jenis tidak cocok"),"Kategori tidak dikenal"))</f>
        <v/>
      </c>
    </row>
    <row r="55" ht="15" customHeight="1" s="33">
      <c r="A55" s="57">
        <f>IF(B55="","",ROW()-4)</f>
        <v/>
      </c>
      <c r="B55" s="58" t="n"/>
      <c r="C55" s="38" t="n"/>
      <c r="D55" s="38" t="n"/>
      <c r="E55" s="38" t="n"/>
      <c r="F55" s="57">
        <f>IF(E55="","",IFERROR(INDEX(Referensi!$C$5:$C$60,MATCH(E55,Referensi!$A$5:$A$60,0)),"?"))</f>
        <v/>
      </c>
      <c r="G55" s="38" t="n"/>
      <c r="H55" s="59" t="n"/>
      <c r="I55" s="38" t="n"/>
      <c r="J55" s="39" t="n"/>
      <c r="K55" s="60">
        <f>IF(J55="","",SUMIFS(J$5:J55,D$5:D55,"Masuk")-SUMIFS(J$5:J55,D$5:D55,"Keluar"))</f>
        <v/>
      </c>
      <c r="L55" s="38" t="n"/>
      <c r="M55" s="38" t="n"/>
      <c r="N55" s="57">
        <f>IF(E55="","",IFERROR(IF(INDEX(Referensi!$B$5:$B$60,MATCH(E55,Referensi!$A$5:$A$60,0))=D55,"OK","Jenis tidak cocok"),"Kategori tidak dikenal"))</f>
        <v/>
      </c>
    </row>
    <row r="56" ht="15" customHeight="1" s="33">
      <c r="A56" s="57">
        <f>IF(B56="","",ROW()-4)</f>
        <v/>
      </c>
      <c r="B56" s="58" t="n"/>
      <c r="C56" s="38" t="n"/>
      <c r="D56" s="38" t="n"/>
      <c r="E56" s="38" t="n"/>
      <c r="F56" s="57">
        <f>IF(E56="","",IFERROR(INDEX(Referensi!$C$5:$C$60,MATCH(E56,Referensi!$A$5:$A$60,0)),"?"))</f>
        <v/>
      </c>
      <c r="G56" s="38" t="n"/>
      <c r="H56" s="59" t="n"/>
      <c r="I56" s="38" t="n"/>
      <c r="J56" s="39" t="n"/>
      <c r="K56" s="60">
        <f>IF(J56="","",SUMIFS(J$5:J56,D$5:D56,"Masuk")-SUMIFS(J$5:J56,D$5:D56,"Keluar"))</f>
        <v/>
      </c>
      <c r="L56" s="38" t="n"/>
      <c r="M56" s="38" t="n"/>
      <c r="N56" s="57">
        <f>IF(E56="","",IFERROR(IF(INDEX(Referensi!$B$5:$B$60,MATCH(E56,Referensi!$A$5:$A$60,0))=D56,"OK","Jenis tidak cocok"),"Kategori tidak dikenal"))</f>
        <v/>
      </c>
    </row>
    <row r="57" ht="15" customHeight="1" s="33">
      <c r="A57" s="57">
        <f>IF(B57="","",ROW()-4)</f>
        <v/>
      </c>
      <c r="B57" s="58" t="n"/>
      <c r="C57" s="38" t="n"/>
      <c r="D57" s="38" t="n"/>
      <c r="E57" s="38" t="n"/>
      <c r="F57" s="57">
        <f>IF(E57="","",IFERROR(INDEX(Referensi!$C$5:$C$60,MATCH(E57,Referensi!$A$5:$A$60,0)),"?"))</f>
        <v/>
      </c>
      <c r="G57" s="38" t="n"/>
      <c r="H57" s="59" t="n"/>
      <c r="I57" s="38" t="n"/>
      <c r="J57" s="39" t="n"/>
      <c r="K57" s="60">
        <f>IF(J57="","",SUMIFS(J$5:J57,D$5:D57,"Masuk")-SUMIFS(J$5:J57,D$5:D57,"Keluar"))</f>
        <v/>
      </c>
      <c r="L57" s="38" t="n"/>
      <c r="M57" s="38" t="n"/>
      <c r="N57" s="57">
        <f>IF(E57="","",IFERROR(IF(INDEX(Referensi!$B$5:$B$60,MATCH(E57,Referensi!$A$5:$A$60,0))=D57,"OK","Jenis tidak cocok"),"Kategori tidak dikenal"))</f>
        <v/>
      </c>
    </row>
    <row r="58" ht="15" customHeight="1" s="33">
      <c r="A58" s="57">
        <f>IF(B58="","",ROW()-4)</f>
        <v/>
      </c>
      <c r="B58" s="58" t="n"/>
      <c r="C58" s="38" t="n"/>
      <c r="D58" s="38" t="n"/>
      <c r="E58" s="38" t="n"/>
      <c r="F58" s="57">
        <f>IF(E58="","",IFERROR(INDEX(Referensi!$C$5:$C$60,MATCH(E58,Referensi!$A$5:$A$60,0)),"?"))</f>
        <v/>
      </c>
      <c r="G58" s="38" t="n"/>
      <c r="H58" s="59" t="n"/>
      <c r="I58" s="38" t="n"/>
      <c r="J58" s="39" t="n"/>
      <c r="K58" s="60">
        <f>IF(J58="","",SUMIFS(J$5:J58,D$5:D58,"Masuk")-SUMIFS(J$5:J58,D$5:D58,"Keluar"))</f>
        <v/>
      </c>
      <c r="L58" s="38" t="n"/>
      <c r="M58" s="38" t="n"/>
      <c r="N58" s="57">
        <f>IF(E58="","",IFERROR(IF(INDEX(Referensi!$B$5:$B$60,MATCH(E58,Referensi!$A$5:$A$60,0))=D58,"OK","Jenis tidak cocok"),"Kategori tidak dikenal"))</f>
        <v/>
      </c>
    </row>
    <row r="59" ht="15" customHeight="1" s="33">
      <c r="A59" s="57">
        <f>IF(B59="","",ROW()-4)</f>
        <v/>
      </c>
      <c r="B59" s="58" t="n"/>
      <c r="C59" s="38" t="n"/>
      <c r="D59" s="38" t="n"/>
      <c r="E59" s="38" t="n"/>
      <c r="F59" s="57">
        <f>IF(E59="","",IFERROR(INDEX(Referensi!$C$5:$C$60,MATCH(E59,Referensi!$A$5:$A$60,0)),"?"))</f>
        <v/>
      </c>
      <c r="G59" s="38" t="n"/>
      <c r="H59" s="59" t="n"/>
      <c r="I59" s="38" t="n"/>
      <c r="J59" s="39" t="n"/>
      <c r="K59" s="60">
        <f>IF(J59="","",SUMIFS(J$5:J59,D$5:D59,"Masuk")-SUMIFS(J$5:J59,D$5:D59,"Keluar"))</f>
        <v/>
      </c>
      <c r="L59" s="38" t="n"/>
      <c r="M59" s="38" t="n"/>
      <c r="N59" s="57">
        <f>IF(E59="","",IFERROR(IF(INDEX(Referensi!$B$5:$B$60,MATCH(E59,Referensi!$A$5:$A$60,0))=D59,"OK","Jenis tidak cocok"),"Kategori tidak dikenal"))</f>
        <v/>
      </c>
    </row>
    <row r="60" ht="15" customHeight="1" s="33">
      <c r="A60" s="57">
        <f>IF(B60="","",ROW()-4)</f>
        <v/>
      </c>
      <c r="B60" s="58" t="n"/>
      <c r="C60" s="38" t="n"/>
      <c r="D60" s="38" t="n"/>
      <c r="E60" s="38" t="n"/>
      <c r="F60" s="57">
        <f>IF(E60="","",IFERROR(INDEX(Referensi!$C$5:$C$60,MATCH(E60,Referensi!$A$5:$A$60,0)),"?"))</f>
        <v/>
      </c>
      <c r="G60" s="38" t="n"/>
      <c r="H60" s="59" t="n"/>
      <c r="I60" s="38" t="n"/>
      <c r="J60" s="39" t="n"/>
      <c r="K60" s="60">
        <f>IF(J60="","",SUMIFS(J$5:J60,D$5:D60,"Masuk")-SUMIFS(J$5:J60,D$5:D60,"Keluar"))</f>
        <v/>
      </c>
      <c r="L60" s="38" t="n"/>
      <c r="M60" s="38" t="n"/>
      <c r="N60" s="57">
        <f>IF(E60="","",IFERROR(IF(INDEX(Referensi!$B$5:$B$60,MATCH(E60,Referensi!$A$5:$A$60,0))=D60,"OK","Jenis tidak cocok"),"Kategori tidak dikenal"))</f>
        <v/>
      </c>
    </row>
    <row r="61" ht="15" customHeight="1" s="33">
      <c r="A61" s="57">
        <f>IF(B61="","",ROW()-4)</f>
        <v/>
      </c>
      <c r="B61" s="58" t="n"/>
      <c r="C61" s="38" t="n"/>
      <c r="D61" s="38" t="n"/>
      <c r="E61" s="38" t="n"/>
      <c r="F61" s="57">
        <f>IF(E61="","",IFERROR(INDEX(Referensi!$C$5:$C$60,MATCH(E61,Referensi!$A$5:$A$60,0)),"?"))</f>
        <v/>
      </c>
      <c r="G61" s="38" t="n"/>
      <c r="H61" s="59" t="n"/>
      <c r="I61" s="38" t="n"/>
      <c r="J61" s="39" t="n"/>
      <c r="K61" s="60">
        <f>IF(J61="","",SUMIFS(J$5:J61,D$5:D61,"Masuk")-SUMIFS(J$5:J61,D$5:D61,"Keluar"))</f>
        <v/>
      </c>
      <c r="L61" s="38" t="n"/>
      <c r="M61" s="38" t="n"/>
      <c r="N61" s="57">
        <f>IF(E61="","",IFERROR(IF(INDEX(Referensi!$B$5:$B$60,MATCH(E61,Referensi!$A$5:$A$60,0))=D61,"OK","Jenis tidak cocok"),"Kategori tidak dikenal"))</f>
        <v/>
      </c>
    </row>
    <row r="62" ht="15" customHeight="1" s="33">
      <c r="A62" s="57">
        <f>IF(B62="","",ROW()-4)</f>
        <v/>
      </c>
      <c r="B62" s="58" t="n"/>
      <c r="C62" s="38" t="n"/>
      <c r="D62" s="38" t="n"/>
      <c r="E62" s="38" t="n"/>
      <c r="F62" s="57">
        <f>IF(E62="","",IFERROR(INDEX(Referensi!$C$5:$C$60,MATCH(E62,Referensi!$A$5:$A$60,0)),"?"))</f>
        <v/>
      </c>
      <c r="G62" s="38" t="n"/>
      <c r="H62" s="59" t="n"/>
      <c r="I62" s="38" t="n"/>
      <c r="J62" s="39" t="n"/>
      <c r="K62" s="60">
        <f>IF(J62="","",SUMIFS(J$5:J62,D$5:D62,"Masuk")-SUMIFS(J$5:J62,D$5:D62,"Keluar"))</f>
        <v/>
      </c>
      <c r="L62" s="38" t="n"/>
      <c r="M62" s="38" t="n"/>
      <c r="N62" s="57">
        <f>IF(E62="","",IFERROR(IF(INDEX(Referensi!$B$5:$B$60,MATCH(E62,Referensi!$A$5:$A$60,0))=D62,"OK","Jenis tidak cocok"),"Kategori tidak dikenal"))</f>
        <v/>
      </c>
    </row>
    <row r="63" ht="15" customHeight="1" s="33">
      <c r="A63" s="57">
        <f>IF(B63="","",ROW()-4)</f>
        <v/>
      </c>
      <c r="B63" s="58" t="n"/>
      <c r="C63" s="38" t="n"/>
      <c r="D63" s="38" t="n"/>
      <c r="E63" s="38" t="n"/>
      <c r="F63" s="57">
        <f>IF(E63="","",IFERROR(INDEX(Referensi!$C$5:$C$60,MATCH(E63,Referensi!$A$5:$A$60,0)),"?"))</f>
        <v/>
      </c>
      <c r="G63" s="38" t="n"/>
      <c r="H63" s="59" t="n"/>
      <c r="I63" s="38" t="n"/>
      <c r="J63" s="39" t="n"/>
      <c r="K63" s="60">
        <f>IF(J63="","",SUMIFS(J$5:J63,D$5:D63,"Masuk")-SUMIFS(J$5:J63,D$5:D63,"Keluar"))</f>
        <v/>
      </c>
      <c r="L63" s="38" t="n"/>
      <c r="M63" s="38" t="n"/>
      <c r="N63" s="57">
        <f>IF(E63="","",IFERROR(IF(INDEX(Referensi!$B$5:$B$60,MATCH(E63,Referensi!$A$5:$A$60,0))=D63,"OK","Jenis tidak cocok"),"Kategori tidak dikenal"))</f>
        <v/>
      </c>
    </row>
    <row r="64" ht="15" customHeight="1" s="33">
      <c r="A64" s="57">
        <f>IF(B64="","",ROW()-4)</f>
        <v/>
      </c>
      <c r="B64" s="58" t="n"/>
      <c r="C64" s="38" t="n"/>
      <c r="D64" s="38" t="n"/>
      <c r="E64" s="38" t="n"/>
      <c r="F64" s="57">
        <f>IF(E64="","",IFERROR(INDEX(Referensi!$C$5:$C$60,MATCH(E64,Referensi!$A$5:$A$60,0)),"?"))</f>
        <v/>
      </c>
      <c r="G64" s="38" t="n"/>
      <c r="H64" s="59" t="n"/>
      <c r="I64" s="38" t="n"/>
      <c r="J64" s="39" t="n"/>
      <c r="K64" s="60">
        <f>IF(J64="","",SUMIFS(J$5:J64,D$5:D64,"Masuk")-SUMIFS(J$5:J64,D$5:D64,"Keluar"))</f>
        <v/>
      </c>
      <c r="L64" s="38" t="n"/>
      <c r="M64" s="38" t="n"/>
      <c r="N64" s="57">
        <f>IF(E64="","",IFERROR(IF(INDEX(Referensi!$B$5:$B$60,MATCH(E64,Referensi!$A$5:$A$60,0))=D64,"OK","Jenis tidak cocok"),"Kategori tidak dikenal"))</f>
        <v/>
      </c>
    </row>
    <row r="65" ht="15" customHeight="1" s="33">
      <c r="A65" s="57">
        <f>IF(B65="","",ROW()-4)</f>
        <v/>
      </c>
      <c r="B65" s="58" t="n"/>
      <c r="C65" s="38" t="n"/>
      <c r="D65" s="38" t="n"/>
      <c r="E65" s="38" t="n"/>
      <c r="F65" s="57">
        <f>IF(E65="","",IFERROR(INDEX(Referensi!$C$5:$C$60,MATCH(E65,Referensi!$A$5:$A$60,0)),"?"))</f>
        <v/>
      </c>
      <c r="G65" s="38" t="n"/>
      <c r="H65" s="59" t="n"/>
      <c r="I65" s="38" t="n"/>
      <c r="J65" s="39" t="n"/>
      <c r="K65" s="60">
        <f>IF(J65="","",SUMIFS(J$5:J65,D$5:D65,"Masuk")-SUMIFS(J$5:J65,D$5:D65,"Keluar"))</f>
        <v/>
      </c>
      <c r="L65" s="38" t="n"/>
      <c r="M65" s="38" t="n"/>
      <c r="N65" s="57">
        <f>IF(E65="","",IFERROR(IF(INDEX(Referensi!$B$5:$B$60,MATCH(E65,Referensi!$A$5:$A$60,0))=D65,"OK","Jenis tidak cocok"),"Kategori tidak dikenal"))</f>
        <v/>
      </c>
    </row>
    <row r="66" ht="15" customHeight="1" s="33">
      <c r="A66" s="57">
        <f>IF(B66="","",ROW()-4)</f>
        <v/>
      </c>
      <c r="B66" s="58" t="n"/>
      <c r="C66" s="38" t="n"/>
      <c r="D66" s="38" t="n"/>
      <c r="E66" s="38" t="n"/>
      <c r="F66" s="57">
        <f>IF(E66="","",IFERROR(INDEX(Referensi!$C$5:$C$60,MATCH(E66,Referensi!$A$5:$A$60,0)),"?"))</f>
        <v/>
      </c>
      <c r="G66" s="38" t="n"/>
      <c r="H66" s="59" t="n"/>
      <c r="I66" s="38" t="n"/>
      <c r="J66" s="39" t="n"/>
      <c r="K66" s="60">
        <f>IF(J66="","",SUMIFS(J$5:J66,D$5:D66,"Masuk")-SUMIFS(J$5:J66,D$5:D66,"Keluar"))</f>
        <v/>
      </c>
      <c r="L66" s="38" t="n"/>
      <c r="M66" s="38" t="n"/>
      <c r="N66" s="57">
        <f>IF(E66="","",IFERROR(IF(INDEX(Referensi!$B$5:$B$60,MATCH(E66,Referensi!$A$5:$A$60,0))=D66,"OK","Jenis tidak cocok"),"Kategori tidak dikenal"))</f>
        <v/>
      </c>
    </row>
    <row r="67" ht="15" customHeight="1" s="33">
      <c r="A67" s="57">
        <f>IF(B67="","",ROW()-4)</f>
        <v/>
      </c>
      <c r="B67" s="58" t="n"/>
      <c r="C67" s="38" t="n"/>
      <c r="D67" s="38" t="n"/>
      <c r="E67" s="38" t="n"/>
      <c r="F67" s="57">
        <f>IF(E67="","",IFERROR(INDEX(Referensi!$C$5:$C$60,MATCH(E67,Referensi!$A$5:$A$60,0)),"?"))</f>
        <v/>
      </c>
      <c r="G67" s="38" t="n"/>
      <c r="H67" s="59" t="n"/>
      <c r="I67" s="38" t="n"/>
      <c r="J67" s="39" t="n"/>
      <c r="K67" s="60">
        <f>IF(J67="","",SUMIFS(J$5:J67,D$5:D67,"Masuk")-SUMIFS(J$5:J67,D$5:D67,"Keluar"))</f>
        <v/>
      </c>
      <c r="L67" s="38" t="n"/>
      <c r="M67" s="38" t="n"/>
      <c r="N67" s="57">
        <f>IF(E67="","",IFERROR(IF(INDEX(Referensi!$B$5:$B$60,MATCH(E67,Referensi!$A$5:$A$60,0))=D67,"OK","Jenis tidak cocok"),"Kategori tidak dikenal"))</f>
        <v/>
      </c>
    </row>
    <row r="68" ht="15" customHeight="1" s="33">
      <c r="A68" s="57">
        <f>IF(B68="","",ROW()-4)</f>
        <v/>
      </c>
      <c r="B68" s="58" t="n"/>
      <c r="C68" s="38" t="n"/>
      <c r="D68" s="38" t="n"/>
      <c r="E68" s="38" t="n"/>
      <c r="F68" s="57">
        <f>IF(E68="","",IFERROR(INDEX(Referensi!$C$5:$C$60,MATCH(E68,Referensi!$A$5:$A$60,0)),"?"))</f>
        <v/>
      </c>
      <c r="G68" s="38" t="n"/>
      <c r="H68" s="59" t="n"/>
      <c r="I68" s="38" t="n"/>
      <c r="J68" s="39" t="n"/>
      <c r="K68" s="60">
        <f>IF(J68="","",SUMIFS(J$5:J68,D$5:D68,"Masuk")-SUMIFS(J$5:J68,D$5:D68,"Keluar"))</f>
        <v/>
      </c>
      <c r="L68" s="38" t="n"/>
      <c r="M68" s="38" t="n"/>
      <c r="N68" s="57">
        <f>IF(E68="","",IFERROR(IF(INDEX(Referensi!$B$5:$B$60,MATCH(E68,Referensi!$A$5:$A$60,0))=D68,"OK","Jenis tidak cocok"),"Kategori tidak dikenal"))</f>
        <v/>
      </c>
    </row>
    <row r="69" ht="15" customHeight="1" s="33">
      <c r="A69" s="57">
        <f>IF(B69="","",ROW()-4)</f>
        <v/>
      </c>
      <c r="B69" s="58" t="n"/>
      <c r="C69" s="38" t="n"/>
      <c r="D69" s="38" t="n"/>
      <c r="E69" s="38" t="n"/>
      <c r="F69" s="57">
        <f>IF(E69="","",IFERROR(INDEX(Referensi!$C$5:$C$60,MATCH(E69,Referensi!$A$5:$A$60,0)),"?"))</f>
        <v/>
      </c>
      <c r="G69" s="38" t="n"/>
      <c r="H69" s="59" t="n"/>
      <c r="I69" s="38" t="n"/>
      <c r="J69" s="39" t="n"/>
      <c r="K69" s="60">
        <f>IF(J69="","",SUMIFS(J$5:J69,D$5:D69,"Masuk")-SUMIFS(J$5:J69,D$5:D69,"Keluar"))</f>
        <v/>
      </c>
      <c r="L69" s="38" t="n"/>
      <c r="M69" s="38" t="n"/>
      <c r="N69" s="57">
        <f>IF(E69="","",IFERROR(IF(INDEX(Referensi!$B$5:$B$60,MATCH(E69,Referensi!$A$5:$A$60,0))=D69,"OK","Jenis tidak cocok"),"Kategori tidak dikenal"))</f>
        <v/>
      </c>
    </row>
    <row r="70" ht="15" customHeight="1" s="33">
      <c r="A70" s="57">
        <f>IF(B70="","",ROW()-4)</f>
        <v/>
      </c>
      <c r="B70" s="58" t="n"/>
      <c r="C70" s="38" t="n"/>
      <c r="D70" s="38" t="n"/>
      <c r="E70" s="38" t="n"/>
      <c r="F70" s="57">
        <f>IF(E70="","",IFERROR(INDEX(Referensi!$C$5:$C$60,MATCH(E70,Referensi!$A$5:$A$60,0)),"?"))</f>
        <v/>
      </c>
      <c r="G70" s="38" t="n"/>
      <c r="H70" s="59" t="n"/>
      <c r="I70" s="38" t="n"/>
      <c r="J70" s="39" t="n"/>
      <c r="K70" s="60">
        <f>IF(J70="","",SUMIFS(J$5:J70,D$5:D70,"Masuk")-SUMIFS(J$5:J70,D$5:D70,"Keluar"))</f>
        <v/>
      </c>
      <c r="L70" s="38" t="n"/>
      <c r="M70" s="38" t="n"/>
      <c r="N70" s="57">
        <f>IF(E70="","",IFERROR(IF(INDEX(Referensi!$B$5:$B$60,MATCH(E70,Referensi!$A$5:$A$60,0))=D70,"OK","Jenis tidak cocok"),"Kategori tidak dikenal"))</f>
        <v/>
      </c>
    </row>
    <row r="71" ht="15" customHeight="1" s="33">
      <c r="A71" s="57">
        <f>IF(B71="","",ROW()-4)</f>
        <v/>
      </c>
      <c r="B71" s="58" t="n"/>
      <c r="C71" s="38" t="n"/>
      <c r="D71" s="38" t="n"/>
      <c r="E71" s="38" t="n"/>
      <c r="F71" s="57">
        <f>IF(E71="","",IFERROR(INDEX(Referensi!$C$5:$C$60,MATCH(E71,Referensi!$A$5:$A$60,0)),"?"))</f>
        <v/>
      </c>
      <c r="G71" s="38" t="n"/>
      <c r="H71" s="59" t="n"/>
      <c r="I71" s="38" t="n"/>
      <c r="J71" s="39" t="n"/>
      <c r="K71" s="60">
        <f>IF(J71="","",SUMIFS(J$5:J71,D$5:D71,"Masuk")-SUMIFS(J$5:J71,D$5:D71,"Keluar"))</f>
        <v/>
      </c>
      <c r="L71" s="38" t="n"/>
      <c r="M71" s="38" t="n"/>
      <c r="N71" s="57">
        <f>IF(E71="","",IFERROR(IF(INDEX(Referensi!$B$5:$B$60,MATCH(E71,Referensi!$A$5:$A$60,0))=D71,"OK","Jenis tidak cocok"),"Kategori tidak dikenal"))</f>
        <v/>
      </c>
    </row>
    <row r="72" ht="15" customHeight="1" s="33">
      <c r="A72" s="57">
        <f>IF(B72="","",ROW()-4)</f>
        <v/>
      </c>
      <c r="B72" s="58" t="n"/>
      <c r="C72" s="38" t="n"/>
      <c r="D72" s="38" t="n"/>
      <c r="E72" s="38" t="n"/>
      <c r="F72" s="57">
        <f>IF(E72="","",IFERROR(INDEX(Referensi!$C$5:$C$60,MATCH(E72,Referensi!$A$5:$A$60,0)),"?"))</f>
        <v/>
      </c>
      <c r="G72" s="38" t="n"/>
      <c r="H72" s="59" t="n"/>
      <c r="I72" s="38" t="n"/>
      <c r="J72" s="39" t="n"/>
      <c r="K72" s="60">
        <f>IF(J72="","",SUMIFS(J$5:J72,D$5:D72,"Masuk")-SUMIFS(J$5:J72,D$5:D72,"Keluar"))</f>
        <v/>
      </c>
      <c r="L72" s="38" t="n"/>
      <c r="M72" s="38" t="n"/>
      <c r="N72" s="57">
        <f>IF(E72="","",IFERROR(IF(INDEX(Referensi!$B$5:$B$60,MATCH(E72,Referensi!$A$5:$A$60,0))=D72,"OK","Jenis tidak cocok"),"Kategori tidak dikenal"))</f>
        <v/>
      </c>
    </row>
    <row r="73" ht="15" customHeight="1" s="33">
      <c r="A73" s="57">
        <f>IF(B73="","",ROW()-4)</f>
        <v/>
      </c>
      <c r="B73" s="58" t="n"/>
      <c r="C73" s="38" t="n"/>
      <c r="D73" s="38" t="n"/>
      <c r="E73" s="38" t="n"/>
      <c r="F73" s="57">
        <f>IF(E73="","",IFERROR(INDEX(Referensi!$C$5:$C$60,MATCH(E73,Referensi!$A$5:$A$60,0)),"?"))</f>
        <v/>
      </c>
      <c r="G73" s="38" t="n"/>
      <c r="H73" s="59" t="n"/>
      <c r="I73" s="38" t="n"/>
      <c r="J73" s="39" t="n"/>
      <c r="K73" s="60">
        <f>IF(J73="","",SUMIFS(J$5:J73,D$5:D73,"Masuk")-SUMIFS(J$5:J73,D$5:D73,"Keluar"))</f>
        <v/>
      </c>
      <c r="L73" s="38" t="n"/>
      <c r="M73" s="38" t="n"/>
      <c r="N73" s="57">
        <f>IF(E73="","",IFERROR(IF(INDEX(Referensi!$B$5:$B$60,MATCH(E73,Referensi!$A$5:$A$60,0))=D73,"OK","Jenis tidak cocok"),"Kategori tidak dikenal"))</f>
        <v/>
      </c>
    </row>
    <row r="74" ht="15" customHeight="1" s="33">
      <c r="A74" s="57">
        <f>IF(B74="","",ROW()-4)</f>
        <v/>
      </c>
      <c r="B74" s="58" t="n"/>
      <c r="C74" s="38" t="n"/>
      <c r="D74" s="38" t="n"/>
      <c r="E74" s="38" t="n"/>
      <c r="F74" s="57">
        <f>IF(E74="","",IFERROR(INDEX(Referensi!$C$5:$C$60,MATCH(E74,Referensi!$A$5:$A$60,0)),"?"))</f>
        <v/>
      </c>
      <c r="G74" s="38" t="n"/>
      <c r="H74" s="59" t="n"/>
      <c r="I74" s="38" t="n"/>
      <c r="J74" s="39" t="n"/>
      <c r="K74" s="60">
        <f>IF(J74="","",SUMIFS(J$5:J74,D$5:D74,"Masuk")-SUMIFS(J$5:J74,D$5:D74,"Keluar"))</f>
        <v/>
      </c>
      <c r="L74" s="38" t="n"/>
      <c r="M74" s="38" t="n"/>
      <c r="N74" s="57">
        <f>IF(E74="","",IFERROR(IF(INDEX(Referensi!$B$5:$B$60,MATCH(E74,Referensi!$A$5:$A$60,0))=D74,"OK","Jenis tidak cocok"),"Kategori tidak dikenal"))</f>
        <v/>
      </c>
    </row>
    <row r="75" ht="15" customHeight="1" s="33">
      <c r="A75" s="57">
        <f>IF(B75="","",ROW()-4)</f>
        <v/>
      </c>
      <c r="B75" s="58" t="n"/>
      <c r="C75" s="38" t="n"/>
      <c r="D75" s="38" t="n"/>
      <c r="E75" s="38" t="n"/>
      <c r="F75" s="57">
        <f>IF(E75="","",IFERROR(INDEX(Referensi!$C$5:$C$60,MATCH(E75,Referensi!$A$5:$A$60,0)),"?"))</f>
        <v/>
      </c>
      <c r="G75" s="38" t="n"/>
      <c r="H75" s="59" t="n"/>
      <c r="I75" s="38" t="n"/>
      <c r="J75" s="39" t="n"/>
      <c r="K75" s="60">
        <f>IF(J75="","",SUMIFS(J$5:J75,D$5:D75,"Masuk")-SUMIFS(J$5:J75,D$5:D75,"Keluar"))</f>
        <v/>
      </c>
      <c r="L75" s="38" t="n"/>
      <c r="M75" s="38" t="n"/>
      <c r="N75" s="57">
        <f>IF(E75="","",IFERROR(IF(INDEX(Referensi!$B$5:$B$60,MATCH(E75,Referensi!$A$5:$A$60,0))=D75,"OK","Jenis tidak cocok"),"Kategori tidak dikenal"))</f>
        <v/>
      </c>
    </row>
    <row r="76" ht="15" customHeight="1" s="33">
      <c r="A76" s="57">
        <f>IF(B76="","",ROW()-4)</f>
        <v/>
      </c>
      <c r="B76" s="58" t="n"/>
      <c r="C76" s="38" t="n"/>
      <c r="D76" s="38" t="n"/>
      <c r="E76" s="38" t="n"/>
      <c r="F76" s="57">
        <f>IF(E76="","",IFERROR(INDEX(Referensi!$C$5:$C$60,MATCH(E76,Referensi!$A$5:$A$60,0)),"?"))</f>
        <v/>
      </c>
      <c r="G76" s="38" t="n"/>
      <c r="H76" s="59" t="n"/>
      <c r="I76" s="38" t="n"/>
      <c r="J76" s="39" t="n"/>
      <c r="K76" s="60">
        <f>IF(J76="","",SUMIFS(J$5:J76,D$5:D76,"Masuk")-SUMIFS(J$5:J76,D$5:D76,"Keluar"))</f>
        <v/>
      </c>
      <c r="L76" s="38" t="n"/>
      <c r="M76" s="38" t="n"/>
      <c r="N76" s="57">
        <f>IF(E76="","",IFERROR(IF(INDEX(Referensi!$B$5:$B$60,MATCH(E76,Referensi!$A$5:$A$60,0))=D76,"OK","Jenis tidak cocok"),"Kategori tidak dikenal"))</f>
        <v/>
      </c>
    </row>
    <row r="77" ht="15" customHeight="1" s="33">
      <c r="A77" s="57">
        <f>IF(B77="","",ROW()-4)</f>
        <v/>
      </c>
      <c r="B77" s="58" t="n"/>
      <c r="C77" s="38" t="n"/>
      <c r="D77" s="38" t="n"/>
      <c r="E77" s="38" t="n"/>
      <c r="F77" s="57">
        <f>IF(E77="","",IFERROR(INDEX(Referensi!$C$5:$C$60,MATCH(E77,Referensi!$A$5:$A$60,0)),"?"))</f>
        <v/>
      </c>
      <c r="G77" s="38" t="n"/>
      <c r="H77" s="59" t="n"/>
      <c r="I77" s="38" t="n"/>
      <c r="J77" s="39" t="n"/>
      <c r="K77" s="60">
        <f>IF(J77="","",SUMIFS(J$5:J77,D$5:D77,"Masuk")-SUMIFS(J$5:J77,D$5:D77,"Keluar"))</f>
        <v/>
      </c>
      <c r="L77" s="38" t="n"/>
      <c r="M77" s="38" t="n"/>
      <c r="N77" s="57">
        <f>IF(E77="","",IFERROR(IF(INDEX(Referensi!$B$5:$B$60,MATCH(E77,Referensi!$A$5:$A$60,0))=D77,"OK","Jenis tidak cocok"),"Kategori tidak dikenal"))</f>
        <v/>
      </c>
    </row>
    <row r="78" ht="15" customHeight="1" s="33">
      <c r="A78" s="57">
        <f>IF(B78="","",ROW()-4)</f>
        <v/>
      </c>
      <c r="B78" s="58" t="n"/>
      <c r="C78" s="38" t="n"/>
      <c r="D78" s="38" t="n"/>
      <c r="E78" s="38" t="n"/>
      <c r="F78" s="57">
        <f>IF(E78="","",IFERROR(INDEX(Referensi!$C$5:$C$60,MATCH(E78,Referensi!$A$5:$A$60,0)),"?"))</f>
        <v/>
      </c>
      <c r="G78" s="38" t="n"/>
      <c r="H78" s="59" t="n"/>
      <c r="I78" s="38" t="n"/>
      <c r="J78" s="39" t="n"/>
      <c r="K78" s="60">
        <f>IF(J78="","",SUMIFS(J$5:J78,D$5:D78,"Masuk")-SUMIFS(J$5:J78,D$5:D78,"Keluar"))</f>
        <v/>
      </c>
      <c r="L78" s="38" t="n"/>
      <c r="M78" s="38" t="n"/>
      <c r="N78" s="57">
        <f>IF(E78="","",IFERROR(IF(INDEX(Referensi!$B$5:$B$60,MATCH(E78,Referensi!$A$5:$A$60,0))=D78,"OK","Jenis tidak cocok"),"Kategori tidak dikenal"))</f>
        <v/>
      </c>
    </row>
    <row r="79" ht="15" customHeight="1" s="33">
      <c r="A79" s="57">
        <f>IF(B79="","",ROW()-4)</f>
        <v/>
      </c>
      <c r="B79" s="58" t="n"/>
      <c r="C79" s="38" t="n"/>
      <c r="D79" s="38" t="n"/>
      <c r="E79" s="38" t="n"/>
      <c r="F79" s="57">
        <f>IF(E79="","",IFERROR(INDEX(Referensi!$C$5:$C$60,MATCH(E79,Referensi!$A$5:$A$60,0)),"?"))</f>
        <v/>
      </c>
      <c r="G79" s="38" t="n"/>
      <c r="H79" s="59" t="n"/>
      <c r="I79" s="38" t="n"/>
      <c r="J79" s="39" t="n"/>
      <c r="K79" s="60">
        <f>IF(J79="","",SUMIFS(J$5:J79,D$5:D79,"Masuk")-SUMIFS(J$5:J79,D$5:D79,"Keluar"))</f>
        <v/>
      </c>
      <c r="L79" s="38" t="n"/>
      <c r="M79" s="38" t="n"/>
      <c r="N79" s="57">
        <f>IF(E79="","",IFERROR(IF(INDEX(Referensi!$B$5:$B$60,MATCH(E79,Referensi!$A$5:$A$60,0))=D79,"OK","Jenis tidak cocok"),"Kategori tidak dikenal"))</f>
        <v/>
      </c>
    </row>
    <row r="80" ht="15" customHeight="1" s="33">
      <c r="A80" s="57">
        <f>IF(B80="","",ROW()-4)</f>
        <v/>
      </c>
      <c r="B80" s="58" t="n"/>
      <c r="C80" s="38" t="n"/>
      <c r="D80" s="38" t="n"/>
      <c r="E80" s="38" t="n"/>
      <c r="F80" s="57">
        <f>IF(E80="","",IFERROR(INDEX(Referensi!$C$5:$C$60,MATCH(E80,Referensi!$A$5:$A$60,0)),"?"))</f>
        <v/>
      </c>
      <c r="G80" s="38" t="n"/>
      <c r="H80" s="59" t="n"/>
      <c r="I80" s="38" t="n"/>
      <c r="J80" s="39" t="n"/>
      <c r="K80" s="60">
        <f>IF(J80="","",SUMIFS(J$5:J80,D$5:D80,"Masuk")-SUMIFS(J$5:J80,D$5:D80,"Keluar"))</f>
        <v/>
      </c>
      <c r="L80" s="38" t="n"/>
      <c r="M80" s="38" t="n"/>
      <c r="N80" s="57">
        <f>IF(E80="","",IFERROR(IF(INDEX(Referensi!$B$5:$B$60,MATCH(E80,Referensi!$A$5:$A$60,0))=D80,"OK","Jenis tidak cocok"),"Kategori tidak dikenal"))</f>
        <v/>
      </c>
    </row>
    <row r="81" ht="15" customHeight="1" s="33">
      <c r="A81" s="57">
        <f>IF(B81="","",ROW()-4)</f>
        <v/>
      </c>
      <c r="B81" s="58" t="n"/>
      <c r="C81" s="38" t="n"/>
      <c r="D81" s="38" t="n"/>
      <c r="E81" s="38" t="n"/>
      <c r="F81" s="57">
        <f>IF(E81="","",IFERROR(INDEX(Referensi!$C$5:$C$60,MATCH(E81,Referensi!$A$5:$A$60,0)),"?"))</f>
        <v/>
      </c>
      <c r="G81" s="38" t="n"/>
      <c r="H81" s="59" t="n"/>
      <c r="I81" s="38" t="n"/>
      <c r="J81" s="39" t="n"/>
      <c r="K81" s="60">
        <f>IF(J81="","",SUMIFS(J$5:J81,D$5:D81,"Masuk")-SUMIFS(J$5:J81,D$5:D81,"Keluar"))</f>
        <v/>
      </c>
      <c r="L81" s="38" t="n"/>
      <c r="M81" s="38" t="n"/>
      <c r="N81" s="57">
        <f>IF(E81="","",IFERROR(IF(INDEX(Referensi!$B$5:$B$60,MATCH(E81,Referensi!$A$5:$A$60,0))=D81,"OK","Jenis tidak cocok"),"Kategori tidak dikenal"))</f>
        <v/>
      </c>
    </row>
    <row r="82" ht="15" customHeight="1" s="33">
      <c r="A82" s="57">
        <f>IF(B82="","",ROW()-4)</f>
        <v/>
      </c>
      <c r="B82" s="58" t="n"/>
      <c r="C82" s="38" t="n"/>
      <c r="D82" s="38" t="n"/>
      <c r="E82" s="38" t="n"/>
      <c r="F82" s="57">
        <f>IF(E82="","",IFERROR(INDEX(Referensi!$C$5:$C$60,MATCH(E82,Referensi!$A$5:$A$60,0)),"?"))</f>
        <v/>
      </c>
      <c r="G82" s="38" t="n"/>
      <c r="H82" s="59" t="n"/>
      <c r="I82" s="38" t="n"/>
      <c r="J82" s="39" t="n"/>
      <c r="K82" s="60">
        <f>IF(J82="","",SUMIFS(J$5:J82,D$5:D82,"Masuk")-SUMIFS(J$5:J82,D$5:D82,"Keluar"))</f>
        <v/>
      </c>
      <c r="L82" s="38" t="n"/>
      <c r="M82" s="38" t="n"/>
      <c r="N82" s="57">
        <f>IF(E82="","",IFERROR(IF(INDEX(Referensi!$B$5:$B$60,MATCH(E82,Referensi!$A$5:$A$60,0))=D82,"OK","Jenis tidak cocok"),"Kategori tidak dikenal"))</f>
        <v/>
      </c>
    </row>
    <row r="83" ht="15" customHeight="1" s="33">
      <c r="A83" s="57">
        <f>IF(B83="","",ROW()-4)</f>
        <v/>
      </c>
      <c r="B83" s="58" t="n"/>
      <c r="C83" s="38" t="n"/>
      <c r="D83" s="38" t="n"/>
      <c r="E83" s="38" t="n"/>
      <c r="F83" s="57">
        <f>IF(E83="","",IFERROR(INDEX(Referensi!$C$5:$C$60,MATCH(E83,Referensi!$A$5:$A$60,0)),"?"))</f>
        <v/>
      </c>
      <c r="G83" s="38" t="n"/>
      <c r="H83" s="59" t="n"/>
      <c r="I83" s="38" t="n"/>
      <c r="J83" s="39" t="n"/>
      <c r="K83" s="60">
        <f>IF(J83="","",SUMIFS(J$5:J83,D$5:D83,"Masuk")-SUMIFS(J$5:J83,D$5:D83,"Keluar"))</f>
        <v/>
      </c>
      <c r="L83" s="38" t="n"/>
      <c r="M83" s="38" t="n"/>
      <c r="N83" s="57">
        <f>IF(E83="","",IFERROR(IF(INDEX(Referensi!$B$5:$B$60,MATCH(E83,Referensi!$A$5:$A$60,0))=D83,"OK","Jenis tidak cocok"),"Kategori tidak dikenal"))</f>
        <v/>
      </c>
    </row>
    <row r="84" ht="15" customHeight="1" s="33">
      <c r="A84" s="57">
        <f>IF(B84="","",ROW()-4)</f>
        <v/>
      </c>
      <c r="B84" s="58" t="n"/>
      <c r="C84" s="38" t="n"/>
      <c r="D84" s="38" t="n"/>
      <c r="E84" s="38" t="n"/>
      <c r="F84" s="57">
        <f>IF(E84="","",IFERROR(INDEX(Referensi!$C$5:$C$60,MATCH(E84,Referensi!$A$5:$A$60,0)),"?"))</f>
        <v/>
      </c>
      <c r="G84" s="38" t="n"/>
      <c r="H84" s="59" t="n"/>
      <c r="I84" s="38" t="n"/>
      <c r="J84" s="39" t="n"/>
      <c r="K84" s="60">
        <f>IF(J84="","",SUMIFS(J$5:J84,D$5:D84,"Masuk")-SUMIFS(J$5:J84,D$5:D84,"Keluar"))</f>
        <v/>
      </c>
      <c r="L84" s="38" t="n"/>
      <c r="M84" s="38" t="n"/>
      <c r="N84" s="57">
        <f>IF(E84="","",IFERROR(IF(INDEX(Referensi!$B$5:$B$60,MATCH(E84,Referensi!$A$5:$A$60,0))=D84,"OK","Jenis tidak cocok"),"Kategori tidak dikenal"))</f>
        <v/>
      </c>
    </row>
    <row r="85" ht="15" customHeight="1" s="33">
      <c r="A85" s="57">
        <f>IF(B85="","",ROW()-4)</f>
        <v/>
      </c>
      <c r="B85" s="58" t="n"/>
      <c r="C85" s="38" t="n"/>
      <c r="D85" s="38" t="n"/>
      <c r="E85" s="38" t="n"/>
      <c r="F85" s="57">
        <f>IF(E85="","",IFERROR(INDEX(Referensi!$C$5:$C$60,MATCH(E85,Referensi!$A$5:$A$60,0)),"?"))</f>
        <v/>
      </c>
      <c r="G85" s="38" t="n"/>
      <c r="H85" s="59" t="n"/>
      <c r="I85" s="38" t="n"/>
      <c r="J85" s="39" t="n"/>
      <c r="K85" s="60">
        <f>IF(J85="","",SUMIFS(J$5:J85,D$5:D85,"Masuk")-SUMIFS(J$5:J85,D$5:D85,"Keluar"))</f>
        <v/>
      </c>
      <c r="L85" s="38" t="n"/>
      <c r="M85" s="38" t="n"/>
      <c r="N85" s="57">
        <f>IF(E85="","",IFERROR(IF(INDEX(Referensi!$B$5:$B$60,MATCH(E85,Referensi!$A$5:$A$60,0))=D85,"OK","Jenis tidak cocok"),"Kategori tidak dikenal"))</f>
        <v/>
      </c>
    </row>
    <row r="86" ht="15" customHeight="1" s="33">
      <c r="A86" s="57">
        <f>IF(B86="","",ROW()-4)</f>
        <v/>
      </c>
      <c r="B86" s="58" t="n"/>
      <c r="C86" s="38" t="n"/>
      <c r="D86" s="38" t="n"/>
      <c r="E86" s="38" t="n"/>
      <c r="F86" s="57">
        <f>IF(E86="","",IFERROR(INDEX(Referensi!$C$5:$C$60,MATCH(E86,Referensi!$A$5:$A$60,0)),"?"))</f>
        <v/>
      </c>
      <c r="G86" s="38" t="n"/>
      <c r="H86" s="59" t="n"/>
      <c r="I86" s="38" t="n"/>
      <c r="J86" s="39" t="n"/>
      <c r="K86" s="60">
        <f>IF(J86="","",SUMIFS(J$5:J86,D$5:D86,"Masuk")-SUMIFS(J$5:J86,D$5:D86,"Keluar"))</f>
        <v/>
      </c>
      <c r="L86" s="38" t="n"/>
      <c r="M86" s="38" t="n"/>
      <c r="N86" s="57">
        <f>IF(E86="","",IFERROR(IF(INDEX(Referensi!$B$5:$B$60,MATCH(E86,Referensi!$A$5:$A$60,0))=D86,"OK","Jenis tidak cocok"),"Kategori tidak dikenal"))</f>
        <v/>
      </c>
    </row>
    <row r="87" ht="15" customHeight="1" s="33">
      <c r="A87" s="57">
        <f>IF(B87="","",ROW()-4)</f>
        <v/>
      </c>
      <c r="B87" s="58" t="n"/>
      <c r="C87" s="38" t="n"/>
      <c r="D87" s="38" t="n"/>
      <c r="E87" s="38" t="n"/>
      <c r="F87" s="57">
        <f>IF(E87="","",IFERROR(INDEX(Referensi!$C$5:$C$60,MATCH(E87,Referensi!$A$5:$A$60,0)),"?"))</f>
        <v/>
      </c>
      <c r="G87" s="38" t="n"/>
      <c r="H87" s="59" t="n"/>
      <c r="I87" s="38" t="n"/>
      <c r="J87" s="39" t="n"/>
      <c r="K87" s="60">
        <f>IF(J87="","",SUMIFS(J$5:J87,D$5:D87,"Masuk")-SUMIFS(J$5:J87,D$5:D87,"Keluar"))</f>
        <v/>
      </c>
      <c r="L87" s="38" t="n"/>
      <c r="M87" s="38" t="n"/>
      <c r="N87" s="57">
        <f>IF(E87="","",IFERROR(IF(INDEX(Referensi!$B$5:$B$60,MATCH(E87,Referensi!$A$5:$A$60,0))=D87,"OK","Jenis tidak cocok"),"Kategori tidak dikenal"))</f>
        <v/>
      </c>
    </row>
    <row r="88" ht="15" customHeight="1" s="33">
      <c r="A88" s="57">
        <f>IF(B88="","",ROW()-4)</f>
        <v/>
      </c>
      <c r="B88" s="58" t="n"/>
      <c r="C88" s="38" t="n"/>
      <c r="D88" s="38" t="n"/>
      <c r="E88" s="38" t="n"/>
      <c r="F88" s="57">
        <f>IF(E88="","",IFERROR(INDEX(Referensi!$C$5:$C$60,MATCH(E88,Referensi!$A$5:$A$60,0)),"?"))</f>
        <v/>
      </c>
      <c r="G88" s="38" t="n"/>
      <c r="H88" s="59" t="n"/>
      <c r="I88" s="38" t="n"/>
      <c r="J88" s="39" t="n"/>
      <c r="K88" s="60">
        <f>IF(J88="","",SUMIFS(J$5:J88,D$5:D88,"Masuk")-SUMIFS(J$5:J88,D$5:D88,"Keluar"))</f>
        <v/>
      </c>
      <c r="L88" s="38" t="n"/>
      <c r="M88" s="38" t="n"/>
      <c r="N88" s="57">
        <f>IF(E88="","",IFERROR(IF(INDEX(Referensi!$B$5:$B$60,MATCH(E88,Referensi!$A$5:$A$60,0))=D88,"OK","Jenis tidak cocok"),"Kategori tidak dikenal"))</f>
        <v/>
      </c>
    </row>
    <row r="89" ht="15" customHeight="1" s="33">
      <c r="A89" s="57">
        <f>IF(B89="","",ROW()-4)</f>
        <v/>
      </c>
      <c r="B89" s="58" t="n"/>
      <c r="C89" s="38" t="n"/>
      <c r="D89" s="38" t="n"/>
      <c r="E89" s="38" t="n"/>
      <c r="F89" s="57">
        <f>IF(E89="","",IFERROR(INDEX(Referensi!$C$5:$C$60,MATCH(E89,Referensi!$A$5:$A$60,0)),"?"))</f>
        <v/>
      </c>
      <c r="G89" s="38" t="n"/>
      <c r="H89" s="59" t="n"/>
      <c r="I89" s="38" t="n"/>
      <c r="J89" s="39" t="n"/>
      <c r="K89" s="60">
        <f>IF(J89="","",SUMIFS(J$5:J89,D$5:D89,"Masuk")-SUMIFS(J$5:J89,D$5:D89,"Keluar"))</f>
        <v/>
      </c>
      <c r="L89" s="38" t="n"/>
      <c r="M89" s="38" t="n"/>
      <c r="N89" s="57">
        <f>IF(E89="","",IFERROR(IF(INDEX(Referensi!$B$5:$B$60,MATCH(E89,Referensi!$A$5:$A$60,0))=D89,"OK","Jenis tidak cocok"),"Kategori tidak dikenal"))</f>
        <v/>
      </c>
    </row>
    <row r="90" ht="15" customHeight="1" s="33">
      <c r="A90" s="57">
        <f>IF(B90="","",ROW()-4)</f>
        <v/>
      </c>
      <c r="B90" s="58" t="n"/>
      <c r="C90" s="38" t="n"/>
      <c r="D90" s="38" t="n"/>
      <c r="E90" s="38" t="n"/>
      <c r="F90" s="57">
        <f>IF(E90="","",IFERROR(INDEX(Referensi!$C$5:$C$60,MATCH(E90,Referensi!$A$5:$A$60,0)),"?"))</f>
        <v/>
      </c>
      <c r="G90" s="38" t="n"/>
      <c r="H90" s="59" t="n"/>
      <c r="I90" s="38" t="n"/>
      <c r="J90" s="39" t="n"/>
      <c r="K90" s="60">
        <f>IF(J90="","",SUMIFS(J$5:J90,D$5:D90,"Masuk")-SUMIFS(J$5:J90,D$5:D90,"Keluar"))</f>
        <v/>
      </c>
      <c r="L90" s="38" t="n"/>
      <c r="M90" s="38" t="n"/>
      <c r="N90" s="57">
        <f>IF(E90="","",IFERROR(IF(INDEX(Referensi!$B$5:$B$60,MATCH(E90,Referensi!$A$5:$A$60,0))=D90,"OK","Jenis tidak cocok"),"Kategori tidak dikenal"))</f>
        <v/>
      </c>
    </row>
    <row r="91" ht="15" customHeight="1" s="33">
      <c r="A91" s="57">
        <f>IF(B91="","",ROW()-4)</f>
        <v/>
      </c>
      <c r="B91" s="58" t="n"/>
      <c r="C91" s="38" t="n"/>
      <c r="D91" s="38" t="n"/>
      <c r="E91" s="38" t="n"/>
      <c r="F91" s="57">
        <f>IF(E91="","",IFERROR(INDEX(Referensi!$C$5:$C$60,MATCH(E91,Referensi!$A$5:$A$60,0)),"?"))</f>
        <v/>
      </c>
      <c r="G91" s="38" t="n"/>
      <c r="H91" s="59" t="n"/>
      <c r="I91" s="38" t="n"/>
      <c r="J91" s="39" t="n"/>
      <c r="K91" s="60">
        <f>IF(J91="","",SUMIFS(J$5:J91,D$5:D91,"Masuk")-SUMIFS(J$5:J91,D$5:D91,"Keluar"))</f>
        <v/>
      </c>
      <c r="L91" s="38" t="n"/>
      <c r="M91" s="38" t="n"/>
      <c r="N91" s="57">
        <f>IF(E91="","",IFERROR(IF(INDEX(Referensi!$B$5:$B$60,MATCH(E91,Referensi!$A$5:$A$60,0))=D91,"OK","Jenis tidak cocok"),"Kategori tidak dikenal"))</f>
        <v/>
      </c>
    </row>
    <row r="92" ht="15" customHeight="1" s="33">
      <c r="A92" s="57">
        <f>IF(B92="","",ROW()-4)</f>
        <v/>
      </c>
      <c r="B92" s="58" t="n"/>
      <c r="C92" s="38" t="n"/>
      <c r="D92" s="38" t="n"/>
      <c r="E92" s="38" t="n"/>
      <c r="F92" s="57">
        <f>IF(E92="","",IFERROR(INDEX(Referensi!$C$5:$C$60,MATCH(E92,Referensi!$A$5:$A$60,0)),"?"))</f>
        <v/>
      </c>
      <c r="G92" s="38" t="n"/>
      <c r="H92" s="59" t="n"/>
      <c r="I92" s="38" t="n"/>
      <c r="J92" s="39" t="n"/>
      <c r="K92" s="60">
        <f>IF(J92="","",SUMIFS(J$5:J92,D$5:D92,"Masuk")-SUMIFS(J$5:J92,D$5:D92,"Keluar"))</f>
        <v/>
      </c>
      <c r="L92" s="38" t="n"/>
      <c r="M92" s="38" t="n"/>
      <c r="N92" s="57">
        <f>IF(E92="","",IFERROR(IF(INDEX(Referensi!$B$5:$B$60,MATCH(E92,Referensi!$A$5:$A$60,0))=D92,"OK","Jenis tidak cocok"),"Kategori tidak dikenal"))</f>
        <v/>
      </c>
    </row>
    <row r="93" ht="15" customHeight="1" s="33">
      <c r="A93" s="57">
        <f>IF(B93="","",ROW()-4)</f>
        <v/>
      </c>
      <c r="B93" s="58" t="n"/>
      <c r="C93" s="38" t="n"/>
      <c r="D93" s="38" t="n"/>
      <c r="E93" s="38" t="n"/>
      <c r="F93" s="57">
        <f>IF(E93="","",IFERROR(INDEX(Referensi!$C$5:$C$60,MATCH(E93,Referensi!$A$5:$A$60,0)),"?"))</f>
        <v/>
      </c>
      <c r="G93" s="38" t="n"/>
      <c r="H93" s="59" t="n"/>
      <c r="I93" s="38" t="n"/>
      <c r="J93" s="39" t="n"/>
      <c r="K93" s="60">
        <f>IF(J93="","",SUMIFS(J$5:J93,D$5:D93,"Masuk")-SUMIFS(J$5:J93,D$5:D93,"Keluar"))</f>
        <v/>
      </c>
      <c r="L93" s="38" t="n"/>
      <c r="M93" s="38" t="n"/>
      <c r="N93" s="57">
        <f>IF(E93="","",IFERROR(IF(INDEX(Referensi!$B$5:$B$60,MATCH(E93,Referensi!$A$5:$A$60,0))=D93,"OK","Jenis tidak cocok"),"Kategori tidak dikenal"))</f>
        <v/>
      </c>
    </row>
    <row r="94" ht="15" customHeight="1" s="33">
      <c r="A94" s="57">
        <f>IF(B94="","",ROW()-4)</f>
        <v/>
      </c>
      <c r="B94" s="58" t="n"/>
      <c r="C94" s="38" t="n"/>
      <c r="D94" s="38" t="n"/>
      <c r="E94" s="38" t="n"/>
      <c r="F94" s="57">
        <f>IF(E94="","",IFERROR(INDEX(Referensi!$C$5:$C$60,MATCH(E94,Referensi!$A$5:$A$60,0)),"?"))</f>
        <v/>
      </c>
      <c r="G94" s="38" t="n"/>
      <c r="H94" s="59" t="n"/>
      <c r="I94" s="38" t="n"/>
      <c r="J94" s="39" t="n"/>
      <c r="K94" s="60">
        <f>IF(J94="","",SUMIFS(J$5:J94,D$5:D94,"Masuk")-SUMIFS(J$5:J94,D$5:D94,"Keluar"))</f>
        <v/>
      </c>
      <c r="L94" s="38" t="n"/>
      <c r="M94" s="38" t="n"/>
      <c r="N94" s="57">
        <f>IF(E94="","",IFERROR(IF(INDEX(Referensi!$B$5:$B$60,MATCH(E94,Referensi!$A$5:$A$60,0))=D94,"OK","Jenis tidak cocok"),"Kategori tidak dikenal"))</f>
        <v/>
      </c>
    </row>
    <row r="95" ht="15" customHeight="1" s="33">
      <c r="A95" s="57">
        <f>IF(B95="","",ROW()-4)</f>
        <v/>
      </c>
      <c r="B95" s="58" t="n"/>
      <c r="C95" s="38" t="n"/>
      <c r="D95" s="38" t="n"/>
      <c r="E95" s="38" t="n"/>
      <c r="F95" s="57">
        <f>IF(E95="","",IFERROR(INDEX(Referensi!$C$5:$C$60,MATCH(E95,Referensi!$A$5:$A$60,0)),"?"))</f>
        <v/>
      </c>
      <c r="G95" s="38" t="n"/>
      <c r="H95" s="59" t="n"/>
      <c r="I95" s="38" t="n"/>
      <c r="J95" s="39" t="n"/>
      <c r="K95" s="60">
        <f>IF(J95="","",SUMIFS(J$5:J95,D$5:D95,"Masuk")-SUMIFS(J$5:J95,D$5:D95,"Keluar"))</f>
        <v/>
      </c>
      <c r="L95" s="38" t="n"/>
      <c r="M95" s="38" t="n"/>
      <c r="N95" s="57">
        <f>IF(E95="","",IFERROR(IF(INDEX(Referensi!$B$5:$B$60,MATCH(E95,Referensi!$A$5:$A$60,0))=D95,"OK","Jenis tidak cocok"),"Kategori tidak dikenal"))</f>
        <v/>
      </c>
    </row>
    <row r="96" ht="15" customHeight="1" s="33">
      <c r="A96" s="57">
        <f>IF(B96="","",ROW()-4)</f>
        <v/>
      </c>
      <c r="B96" s="58" t="n"/>
      <c r="C96" s="38" t="n"/>
      <c r="D96" s="38" t="n"/>
      <c r="E96" s="38" t="n"/>
      <c r="F96" s="57">
        <f>IF(E96="","",IFERROR(INDEX(Referensi!$C$5:$C$60,MATCH(E96,Referensi!$A$5:$A$60,0)),"?"))</f>
        <v/>
      </c>
      <c r="G96" s="38" t="n"/>
      <c r="H96" s="59" t="n"/>
      <c r="I96" s="38" t="n"/>
      <c r="J96" s="39" t="n"/>
      <c r="K96" s="60">
        <f>IF(J96="","",SUMIFS(J$5:J96,D$5:D96,"Masuk")-SUMIFS(J$5:J96,D$5:D96,"Keluar"))</f>
        <v/>
      </c>
      <c r="L96" s="38" t="n"/>
      <c r="M96" s="38" t="n"/>
      <c r="N96" s="57">
        <f>IF(E96="","",IFERROR(IF(INDEX(Referensi!$B$5:$B$60,MATCH(E96,Referensi!$A$5:$A$60,0))=D96,"OK","Jenis tidak cocok"),"Kategori tidak dikenal"))</f>
        <v/>
      </c>
    </row>
    <row r="97" ht="15" customHeight="1" s="33">
      <c r="A97" s="57">
        <f>IF(B97="","",ROW()-4)</f>
        <v/>
      </c>
      <c r="B97" s="58" t="n"/>
      <c r="C97" s="38" t="n"/>
      <c r="D97" s="38" t="n"/>
      <c r="E97" s="38" t="n"/>
      <c r="F97" s="57">
        <f>IF(E97="","",IFERROR(INDEX(Referensi!$C$5:$C$60,MATCH(E97,Referensi!$A$5:$A$60,0)),"?"))</f>
        <v/>
      </c>
      <c r="G97" s="38" t="n"/>
      <c r="H97" s="59" t="n"/>
      <c r="I97" s="38" t="n"/>
      <c r="J97" s="39" t="n"/>
      <c r="K97" s="60">
        <f>IF(J97="","",SUMIFS(J$5:J97,D$5:D97,"Masuk")-SUMIFS(J$5:J97,D$5:D97,"Keluar"))</f>
        <v/>
      </c>
      <c r="L97" s="38" t="n"/>
      <c r="M97" s="38" t="n"/>
      <c r="N97" s="57">
        <f>IF(E97="","",IFERROR(IF(INDEX(Referensi!$B$5:$B$60,MATCH(E97,Referensi!$A$5:$A$60,0))=D97,"OK","Jenis tidak cocok"),"Kategori tidak dikenal"))</f>
        <v/>
      </c>
    </row>
    <row r="98" ht="15" customHeight="1" s="33">
      <c r="A98" s="57">
        <f>IF(B98="","",ROW()-4)</f>
        <v/>
      </c>
      <c r="B98" s="58" t="n"/>
      <c r="C98" s="38" t="n"/>
      <c r="D98" s="38" t="n"/>
      <c r="E98" s="38" t="n"/>
      <c r="F98" s="57">
        <f>IF(E98="","",IFERROR(INDEX(Referensi!$C$5:$C$60,MATCH(E98,Referensi!$A$5:$A$60,0)),"?"))</f>
        <v/>
      </c>
      <c r="G98" s="38" t="n"/>
      <c r="H98" s="59" t="n"/>
      <c r="I98" s="38" t="n"/>
      <c r="J98" s="39" t="n"/>
      <c r="K98" s="60">
        <f>IF(J98="","",SUMIFS(J$5:J98,D$5:D98,"Masuk")-SUMIFS(J$5:J98,D$5:D98,"Keluar"))</f>
        <v/>
      </c>
      <c r="L98" s="38" t="n"/>
      <c r="M98" s="38" t="n"/>
      <c r="N98" s="57">
        <f>IF(E98="","",IFERROR(IF(INDEX(Referensi!$B$5:$B$60,MATCH(E98,Referensi!$A$5:$A$60,0))=D98,"OK","Jenis tidak cocok"),"Kategori tidak dikenal"))</f>
        <v/>
      </c>
    </row>
    <row r="99" ht="15" customHeight="1" s="33">
      <c r="A99" s="57">
        <f>IF(B99="","",ROW()-4)</f>
        <v/>
      </c>
      <c r="B99" s="58" t="n"/>
      <c r="C99" s="38" t="n"/>
      <c r="D99" s="38" t="n"/>
      <c r="E99" s="38" t="n"/>
      <c r="F99" s="57">
        <f>IF(E99="","",IFERROR(INDEX(Referensi!$C$5:$C$60,MATCH(E99,Referensi!$A$5:$A$60,0)),"?"))</f>
        <v/>
      </c>
      <c r="G99" s="38" t="n"/>
      <c r="H99" s="59" t="n"/>
      <c r="I99" s="38" t="n"/>
      <c r="J99" s="39" t="n"/>
      <c r="K99" s="60">
        <f>IF(J99="","",SUMIFS(J$5:J99,D$5:D99,"Masuk")-SUMIFS(J$5:J99,D$5:D99,"Keluar"))</f>
        <v/>
      </c>
      <c r="L99" s="38" t="n"/>
      <c r="M99" s="38" t="n"/>
      <c r="N99" s="57">
        <f>IF(E99="","",IFERROR(IF(INDEX(Referensi!$B$5:$B$60,MATCH(E99,Referensi!$A$5:$A$60,0))=D99,"OK","Jenis tidak cocok"),"Kategori tidak dikenal"))</f>
        <v/>
      </c>
    </row>
    <row r="100" ht="15" customHeight="1" s="33">
      <c r="A100" s="57">
        <f>IF(B100="","",ROW()-4)</f>
        <v/>
      </c>
      <c r="B100" s="58" t="n"/>
      <c r="C100" s="38" t="n"/>
      <c r="D100" s="38" t="n"/>
      <c r="E100" s="38" t="n"/>
      <c r="F100" s="57">
        <f>IF(E100="","",IFERROR(INDEX(Referensi!$C$5:$C$60,MATCH(E100,Referensi!$A$5:$A$60,0)),"?"))</f>
        <v/>
      </c>
      <c r="G100" s="38" t="n"/>
      <c r="H100" s="59" t="n"/>
      <c r="I100" s="38" t="n"/>
      <c r="J100" s="39" t="n"/>
      <c r="K100" s="60">
        <f>IF(J100="","",SUMIFS(J$5:J100,D$5:D100,"Masuk")-SUMIFS(J$5:J100,D$5:D100,"Keluar"))</f>
        <v/>
      </c>
      <c r="L100" s="38" t="n"/>
      <c r="M100" s="38" t="n"/>
      <c r="N100" s="57">
        <f>IF(E100="","",IFERROR(IF(INDEX(Referensi!$B$5:$B$60,MATCH(E100,Referensi!$A$5:$A$60,0))=D100,"OK","Jenis tidak cocok"),"Kategori tidak dikenal"))</f>
        <v/>
      </c>
    </row>
    <row r="101" ht="15" customHeight="1" s="33">
      <c r="A101" s="57">
        <f>IF(B101="","",ROW()-4)</f>
        <v/>
      </c>
      <c r="B101" s="58" t="n"/>
      <c r="C101" s="38" t="n"/>
      <c r="D101" s="38" t="n"/>
      <c r="E101" s="38" t="n"/>
      <c r="F101" s="57">
        <f>IF(E101="","",IFERROR(INDEX(Referensi!$C$5:$C$60,MATCH(E101,Referensi!$A$5:$A$60,0)),"?"))</f>
        <v/>
      </c>
      <c r="G101" s="38" t="n"/>
      <c r="H101" s="59" t="n"/>
      <c r="I101" s="38" t="n"/>
      <c r="J101" s="39" t="n"/>
      <c r="K101" s="60">
        <f>IF(J101="","",SUMIFS(J$5:J101,D$5:D101,"Masuk")-SUMIFS(J$5:J101,D$5:D101,"Keluar"))</f>
        <v/>
      </c>
      <c r="L101" s="38" t="n"/>
      <c r="M101" s="38" t="n"/>
      <c r="N101" s="57">
        <f>IF(E101="","",IFERROR(IF(INDEX(Referensi!$B$5:$B$60,MATCH(E101,Referensi!$A$5:$A$60,0))=D101,"OK","Jenis tidak cocok"),"Kategori tidak dikenal"))</f>
        <v/>
      </c>
    </row>
    <row r="102" ht="15" customHeight="1" s="33">
      <c r="A102" s="57">
        <f>IF(B102="","",ROW()-4)</f>
        <v/>
      </c>
      <c r="B102" s="58" t="n"/>
      <c r="C102" s="38" t="n"/>
      <c r="D102" s="38" t="n"/>
      <c r="E102" s="38" t="n"/>
      <c r="F102" s="57">
        <f>IF(E102="","",IFERROR(INDEX(Referensi!$C$5:$C$60,MATCH(E102,Referensi!$A$5:$A$60,0)),"?"))</f>
        <v/>
      </c>
      <c r="G102" s="38" t="n"/>
      <c r="H102" s="59" t="n"/>
      <c r="I102" s="38" t="n"/>
      <c r="J102" s="39" t="n"/>
      <c r="K102" s="60">
        <f>IF(J102="","",SUMIFS(J$5:J102,D$5:D102,"Masuk")-SUMIFS(J$5:J102,D$5:D102,"Keluar"))</f>
        <v/>
      </c>
      <c r="L102" s="38" t="n"/>
      <c r="M102" s="38" t="n"/>
      <c r="N102" s="57">
        <f>IF(E102="","",IFERROR(IF(INDEX(Referensi!$B$5:$B$60,MATCH(E102,Referensi!$A$5:$A$60,0))=D102,"OK","Jenis tidak cocok"),"Kategori tidak dikenal"))</f>
        <v/>
      </c>
    </row>
    <row r="103" ht="15" customHeight="1" s="33">
      <c r="A103" s="57">
        <f>IF(B103="","",ROW()-4)</f>
        <v/>
      </c>
      <c r="B103" s="58" t="n"/>
      <c r="C103" s="38" t="n"/>
      <c r="D103" s="38" t="n"/>
      <c r="E103" s="38" t="n"/>
      <c r="F103" s="57">
        <f>IF(E103="","",IFERROR(INDEX(Referensi!$C$5:$C$60,MATCH(E103,Referensi!$A$5:$A$60,0)),"?"))</f>
        <v/>
      </c>
      <c r="G103" s="38" t="n"/>
      <c r="H103" s="59" t="n"/>
      <c r="I103" s="38" t="n"/>
      <c r="J103" s="39" t="n"/>
      <c r="K103" s="60">
        <f>IF(J103="","",SUMIFS(J$5:J103,D$5:D103,"Masuk")-SUMIFS(J$5:J103,D$5:D103,"Keluar"))</f>
        <v/>
      </c>
      <c r="L103" s="38" t="n"/>
      <c r="M103" s="38" t="n"/>
      <c r="N103" s="57">
        <f>IF(E103="","",IFERROR(IF(INDEX(Referensi!$B$5:$B$60,MATCH(E103,Referensi!$A$5:$A$60,0))=D103,"OK","Jenis tidak cocok"),"Kategori tidak dikenal"))</f>
        <v/>
      </c>
    </row>
    <row r="104" ht="15" customHeight="1" s="33">
      <c r="A104" s="57">
        <f>IF(B104="","",ROW()-4)</f>
        <v/>
      </c>
      <c r="B104" s="58" t="n"/>
      <c r="C104" s="38" t="n"/>
      <c r="D104" s="38" t="n"/>
      <c r="E104" s="38" t="n"/>
      <c r="F104" s="57">
        <f>IF(E104="","",IFERROR(INDEX(Referensi!$C$5:$C$60,MATCH(E104,Referensi!$A$5:$A$60,0)),"?"))</f>
        <v/>
      </c>
      <c r="G104" s="38" t="n"/>
      <c r="H104" s="59" t="n"/>
      <c r="I104" s="38" t="n"/>
      <c r="J104" s="39" t="n"/>
      <c r="K104" s="60">
        <f>IF(J104="","",SUMIFS(J$5:J104,D$5:D104,"Masuk")-SUMIFS(J$5:J104,D$5:D104,"Keluar"))</f>
        <v/>
      </c>
      <c r="L104" s="38" t="n"/>
      <c r="M104" s="38" t="n"/>
      <c r="N104" s="57">
        <f>IF(E104="","",IFERROR(IF(INDEX(Referensi!$B$5:$B$60,MATCH(E104,Referensi!$A$5:$A$60,0))=D104,"OK","Jenis tidak cocok"),"Kategori tidak dikenal"))</f>
        <v/>
      </c>
    </row>
    <row r="105" ht="15" customHeight="1" s="33">
      <c r="A105" s="57">
        <f>IF(B105="","",ROW()-4)</f>
        <v/>
      </c>
      <c r="B105" s="58" t="n"/>
      <c r="C105" s="38" t="n"/>
      <c r="D105" s="38" t="n"/>
      <c r="E105" s="38" t="n"/>
      <c r="F105" s="57">
        <f>IF(E105="","",IFERROR(INDEX(Referensi!$C$5:$C$60,MATCH(E105,Referensi!$A$5:$A$60,0)),"?"))</f>
        <v/>
      </c>
      <c r="G105" s="38" t="n"/>
      <c r="H105" s="59" t="n"/>
      <c r="I105" s="38" t="n"/>
      <c r="J105" s="39" t="n"/>
      <c r="K105" s="60">
        <f>IF(J105="","",SUMIFS(J$5:J105,D$5:D105,"Masuk")-SUMIFS(J$5:J105,D$5:D105,"Keluar"))</f>
        <v/>
      </c>
      <c r="L105" s="38" t="n"/>
      <c r="M105" s="38" t="n"/>
      <c r="N105" s="57">
        <f>IF(E105="","",IFERROR(IF(INDEX(Referensi!$B$5:$B$60,MATCH(E105,Referensi!$A$5:$A$60,0))=D105,"OK","Jenis tidak cocok"),"Kategori tidak dikenal"))</f>
        <v/>
      </c>
    </row>
    <row r="106" ht="15" customHeight="1" s="33">
      <c r="A106" s="57">
        <f>IF(B106="","",ROW()-4)</f>
        <v/>
      </c>
      <c r="B106" s="58" t="n"/>
      <c r="C106" s="38" t="n"/>
      <c r="D106" s="38" t="n"/>
      <c r="E106" s="38" t="n"/>
      <c r="F106" s="57">
        <f>IF(E106="","",IFERROR(INDEX(Referensi!$C$5:$C$60,MATCH(E106,Referensi!$A$5:$A$60,0)),"?"))</f>
        <v/>
      </c>
      <c r="G106" s="38" t="n"/>
      <c r="H106" s="59" t="n"/>
      <c r="I106" s="38" t="n"/>
      <c r="J106" s="39" t="n"/>
      <c r="K106" s="60">
        <f>IF(J106="","",SUMIFS(J$5:J106,D$5:D106,"Masuk")-SUMIFS(J$5:J106,D$5:D106,"Keluar"))</f>
        <v/>
      </c>
      <c r="L106" s="38" t="n"/>
      <c r="M106" s="38" t="n"/>
      <c r="N106" s="57">
        <f>IF(E106="","",IFERROR(IF(INDEX(Referensi!$B$5:$B$60,MATCH(E106,Referensi!$A$5:$A$60,0))=D106,"OK","Jenis tidak cocok"),"Kategori tidak dikenal"))</f>
        <v/>
      </c>
    </row>
    <row r="107" ht="15" customHeight="1" s="33">
      <c r="A107" s="57">
        <f>IF(B107="","",ROW()-4)</f>
        <v/>
      </c>
      <c r="B107" s="58" t="n"/>
      <c r="C107" s="38" t="n"/>
      <c r="D107" s="38" t="n"/>
      <c r="E107" s="38" t="n"/>
      <c r="F107" s="57">
        <f>IF(E107="","",IFERROR(INDEX(Referensi!$C$5:$C$60,MATCH(E107,Referensi!$A$5:$A$60,0)),"?"))</f>
        <v/>
      </c>
      <c r="G107" s="38" t="n"/>
      <c r="H107" s="59" t="n"/>
      <c r="I107" s="38" t="n"/>
      <c r="J107" s="39" t="n"/>
      <c r="K107" s="60">
        <f>IF(J107="","",SUMIFS(J$5:J107,D$5:D107,"Masuk")-SUMIFS(J$5:J107,D$5:D107,"Keluar"))</f>
        <v/>
      </c>
      <c r="L107" s="38" t="n"/>
      <c r="M107" s="38" t="n"/>
      <c r="N107" s="57">
        <f>IF(E107="","",IFERROR(IF(INDEX(Referensi!$B$5:$B$60,MATCH(E107,Referensi!$A$5:$A$60,0))=D107,"OK","Jenis tidak cocok"),"Kategori tidak dikenal"))</f>
        <v/>
      </c>
    </row>
    <row r="108" ht="15" customHeight="1" s="33">
      <c r="A108" s="57">
        <f>IF(B108="","",ROW()-4)</f>
        <v/>
      </c>
      <c r="B108" s="58" t="n"/>
      <c r="C108" s="38" t="n"/>
      <c r="D108" s="38" t="n"/>
      <c r="E108" s="38" t="n"/>
      <c r="F108" s="57">
        <f>IF(E108="","",IFERROR(INDEX(Referensi!$C$5:$C$60,MATCH(E108,Referensi!$A$5:$A$60,0)),"?"))</f>
        <v/>
      </c>
      <c r="G108" s="38" t="n"/>
      <c r="H108" s="59" t="n"/>
      <c r="I108" s="38" t="n"/>
      <c r="J108" s="39" t="n"/>
      <c r="K108" s="60">
        <f>IF(J108="","",SUMIFS(J$5:J108,D$5:D108,"Masuk")-SUMIFS(J$5:J108,D$5:D108,"Keluar"))</f>
        <v/>
      </c>
      <c r="L108" s="38" t="n"/>
      <c r="M108" s="38" t="n"/>
      <c r="N108" s="57">
        <f>IF(E108="","",IFERROR(IF(INDEX(Referensi!$B$5:$B$60,MATCH(E108,Referensi!$A$5:$A$60,0))=D108,"OK","Jenis tidak cocok"),"Kategori tidak dikenal"))</f>
        <v/>
      </c>
    </row>
    <row r="109" ht="15" customHeight="1" s="33">
      <c r="A109" s="57">
        <f>IF(B109="","",ROW()-4)</f>
        <v/>
      </c>
      <c r="B109" s="58" t="n"/>
      <c r="C109" s="38" t="n"/>
      <c r="D109" s="38" t="n"/>
      <c r="E109" s="38" t="n"/>
      <c r="F109" s="57">
        <f>IF(E109="","",IFERROR(INDEX(Referensi!$C$5:$C$60,MATCH(E109,Referensi!$A$5:$A$60,0)),"?"))</f>
        <v/>
      </c>
      <c r="G109" s="38" t="n"/>
      <c r="H109" s="59" t="n"/>
      <c r="I109" s="38" t="n"/>
      <c r="J109" s="39" t="n"/>
      <c r="K109" s="60">
        <f>IF(J109="","",SUMIFS(J$5:J109,D$5:D109,"Masuk")-SUMIFS(J$5:J109,D$5:D109,"Keluar"))</f>
        <v/>
      </c>
      <c r="L109" s="38" t="n"/>
      <c r="M109" s="38" t="n"/>
      <c r="N109" s="57">
        <f>IF(E109="","",IFERROR(IF(INDEX(Referensi!$B$5:$B$60,MATCH(E109,Referensi!$A$5:$A$60,0))=D109,"OK","Jenis tidak cocok"),"Kategori tidak dikenal"))</f>
        <v/>
      </c>
    </row>
    <row r="110" ht="15" customHeight="1" s="33">
      <c r="A110" s="57">
        <f>IF(B110="","",ROW()-4)</f>
        <v/>
      </c>
      <c r="B110" s="58" t="n"/>
      <c r="C110" s="38" t="n"/>
      <c r="D110" s="38" t="n"/>
      <c r="E110" s="38" t="n"/>
      <c r="F110" s="57">
        <f>IF(E110="","",IFERROR(INDEX(Referensi!$C$5:$C$60,MATCH(E110,Referensi!$A$5:$A$60,0)),"?"))</f>
        <v/>
      </c>
      <c r="G110" s="38" t="n"/>
      <c r="H110" s="59" t="n"/>
      <c r="I110" s="38" t="n"/>
      <c r="J110" s="39" t="n"/>
      <c r="K110" s="60">
        <f>IF(J110="","",SUMIFS(J$5:J110,D$5:D110,"Masuk")-SUMIFS(J$5:J110,D$5:D110,"Keluar"))</f>
        <v/>
      </c>
      <c r="L110" s="38" t="n"/>
      <c r="M110" s="38" t="n"/>
      <c r="N110" s="57">
        <f>IF(E110="","",IFERROR(IF(INDEX(Referensi!$B$5:$B$60,MATCH(E110,Referensi!$A$5:$A$60,0))=D110,"OK","Jenis tidak cocok"),"Kategori tidak dikenal"))</f>
        <v/>
      </c>
    </row>
    <row r="111" ht="15" customHeight="1" s="33">
      <c r="A111" s="57">
        <f>IF(B111="","",ROW()-4)</f>
        <v/>
      </c>
      <c r="B111" s="58" t="n"/>
      <c r="C111" s="38" t="n"/>
      <c r="D111" s="38" t="n"/>
      <c r="E111" s="38" t="n"/>
      <c r="F111" s="57">
        <f>IF(E111="","",IFERROR(INDEX(Referensi!$C$5:$C$60,MATCH(E111,Referensi!$A$5:$A$60,0)),"?"))</f>
        <v/>
      </c>
      <c r="G111" s="38" t="n"/>
      <c r="H111" s="59" t="n"/>
      <c r="I111" s="38" t="n"/>
      <c r="J111" s="39" t="n"/>
      <c r="K111" s="60">
        <f>IF(J111="","",SUMIFS(J$5:J111,D$5:D111,"Masuk")-SUMIFS(J$5:J111,D$5:D111,"Keluar"))</f>
        <v/>
      </c>
      <c r="L111" s="38" t="n"/>
      <c r="M111" s="38" t="n"/>
      <c r="N111" s="57">
        <f>IF(E111="","",IFERROR(IF(INDEX(Referensi!$B$5:$B$60,MATCH(E111,Referensi!$A$5:$A$60,0))=D111,"OK","Jenis tidak cocok"),"Kategori tidak dikenal"))</f>
        <v/>
      </c>
    </row>
    <row r="112" ht="15" customHeight="1" s="33">
      <c r="A112" s="57">
        <f>IF(B112="","",ROW()-4)</f>
        <v/>
      </c>
      <c r="B112" s="58" t="n"/>
      <c r="C112" s="38" t="n"/>
      <c r="D112" s="38" t="n"/>
      <c r="E112" s="38" t="n"/>
      <c r="F112" s="57">
        <f>IF(E112="","",IFERROR(INDEX(Referensi!$C$5:$C$60,MATCH(E112,Referensi!$A$5:$A$60,0)),"?"))</f>
        <v/>
      </c>
      <c r="G112" s="38" t="n"/>
      <c r="H112" s="59" t="n"/>
      <c r="I112" s="38" t="n"/>
      <c r="J112" s="39" t="n"/>
      <c r="K112" s="60">
        <f>IF(J112="","",SUMIFS(J$5:J112,D$5:D112,"Masuk")-SUMIFS(J$5:J112,D$5:D112,"Keluar"))</f>
        <v/>
      </c>
      <c r="L112" s="38" t="n"/>
      <c r="M112" s="38" t="n"/>
      <c r="N112" s="57">
        <f>IF(E112="","",IFERROR(IF(INDEX(Referensi!$B$5:$B$60,MATCH(E112,Referensi!$A$5:$A$60,0))=D112,"OK","Jenis tidak cocok"),"Kategori tidak dikenal"))</f>
        <v/>
      </c>
    </row>
    <row r="113" ht="15" customHeight="1" s="33">
      <c r="A113" s="57">
        <f>IF(B113="","",ROW()-4)</f>
        <v/>
      </c>
      <c r="B113" s="58" t="n"/>
      <c r="C113" s="38" t="n"/>
      <c r="D113" s="38" t="n"/>
      <c r="E113" s="38" t="n"/>
      <c r="F113" s="57">
        <f>IF(E113="","",IFERROR(INDEX(Referensi!$C$5:$C$60,MATCH(E113,Referensi!$A$5:$A$60,0)),"?"))</f>
        <v/>
      </c>
      <c r="G113" s="38" t="n"/>
      <c r="H113" s="59" t="n"/>
      <c r="I113" s="38" t="n"/>
      <c r="J113" s="39" t="n"/>
      <c r="K113" s="60">
        <f>IF(J113="","",SUMIFS(J$5:J113,D$5:D113,"Masuk")-SUMIFS(J$5:J113,D$5:D113,"Keluar"))</f>
        <v/>
      </c>
      <c r="L113" s="38" t="n"/>
      <c r="M113" s="38" t="n"/>
      <c r="N113" s="57">
        <f>IF(E113="","",IFERROR(IF(INDEX(Referensi!$B$5:$B$60,MATCH(E113,Referensi!$A$5:$A$60,0))=D113,"OK","Jenis tidak cocok"),"Kategori tidak dikenal"))</f>
        <v/>
      </c>
    </row>
    <row r="114" ht="15" customHeight="1" s="33">
      <c r="A114" s="57">
        <f>IF(B114="","",ROW()-4)</f>
        <v/>
      </c>
      <c r="B114" s="58" t="n"/>
      <c r="C114" s="38" t="n"/>
      <c r="D114" s="38" t="n"/>
      <c r="E114" s="38" t="n"/>
      <c r="F114" s="57">
        <f>IF(E114="","",IFERROR(INDEX(Referensi!$C$5:$C$60,MATCH(E114,Referensi!$A$5:$A$60,0)),"?"))</f>
        <v/>
      </c>
      <c r="G114" s="38" t="n"/>
      <c r="H114" s="59" t="n"/>
      <c r="I114" s="38" t="n"/>
      <c r="J114" s="39" t="n"/>
      <c r="K114" s="60">
        <f>IF(J114="","",SUMIFS(J$5:J114,D$5:D114,"Masuk")-SUMIFS(J$5:J114,D$5:D114,"Keluar"))</f>
        <v/>
      </c>
      <c r="L114" s="38" t="n"/>
      <c r="M114" s="38" t="n"/>
      <c r="N114" s="57">
        <f>IF(E114="","",IFERROR(IF(INDEX(Referensi!$B$5:$B$60,MATCH(E114,Referensi!$A$5:$A$60,0))=D114,"OK","Jenis tidak cocok"),"Kategori tidak dikenal"))</f>
        <v/>
      </c>
    </row>
    <row r="115" ht="15" customHeight="1" s="33">
      <c r="A115" s="57">
        <f>IF(B115="","",ROW()-4)</f>
        <v/>
      </c>
      <c r="B115" s="58" t="n"/>
      <c r="C115" s="38" t="n"/>
      <c r="D115" s="38" t="n"/>
      <c r="E115" s="38" t="n"/>
      <c r="F115" s="57">
        <f>IF(E115="","",IFERROR(INDEX(Referensi!$C$5:$C$60,MATCH(E115,Referensi!$A$5:$A$60,0)),"?"))</f>
        <v/>
      </c>
      <c r="G115" s="38" t="n"/>
      <c r="H115" s="59" t="n"/>
      <c r="I115" s="38" t="n"/>
      <c r="J115" s="39" t="n"/>
      <c r="K115" s="60">
        <f>IF(J115="","",SUMIFS(J$5:J115,D$5:D115,"Masuk")-SUMIFS(J$5:J115,D$5:D115,"Keluar"))</f>
        <v/>
      </c>
      <c r="L115" s="38" t="n"/>
      <c r="M115" s="38" t="n"/>
      <c r="N115" s="57">
        <f>IF(E115="","",IFERROR(IF(INDEX(Referensi!$B$5:$B$60,MATCH(E115,Referensi!$A$5:$A$60,0))=D115,"OK","Jenis tidak cocok"),"Kategori tidak dikenal"))</f>
        <v/>
      </c>
    </row>
    <row r="116" ht="15" customHeight="1" s="33">
      <c r="A116" s="57">
        <f>IF(B116="","",ROW()-4)</f>
        <v/>
      </c>
      <c r="B116" s="58" t="n"/>
      <c r="C116" s="38" t="n"/>
      <c r="D116" s="38" t="n"/>
      <c r="E116" s="38" t="n"/>
      <c r="F116" s="57">
        <f>IF(E116="","",IFERROR(INDEX(Referensi!$C$5:$C$60,MATCH(E116,Referensi!$A$5:$A$60,0)),"?"))</f>
        <v/>
      </c>
      <c r="G116" s="38" t="n"/>
      <c r="H116" s="59" t="n"/>
      <c r="I116" s="38" t="n"/>
      <c r="J116" s="39" t="n"/>
      <c r="K116" s="60">
        <f>IF(J116="","",SUMIFS(J$5:J116,D$5:D116,"Masuk")-SUMIFS(J$5:J116,D$5:D116,"Keluar"))</f>
        <v/>
      </c>
      <c r="L116" s="38" t="n"/>
      <c r="M116" s="38" t="n"/>
      <c r="N116" s="57">
        <f>IF(E116="","",IFERROR(IF(INDEX(Referensi!$B$5:$B$60,MATCH(E116,Referensi!$A$5:$A$60,0))=D116,"OK","Jenis tidak cocok"),"Kategori tidak dikenal"))</f>
        <v/>
      </c>
    </row>
    <row r="117" ht="15" customHeight="1" s="33">
      <c r="A117" s="57">
        <f>IF(B117="","",ROW()-4)</f>
        <v/>
      </c>
      <c r="B117" s="58" t="n"/>
      <c r="C117" s="38" t="n"/>
      <c r="D117" s="38" t="n"/>
      <c r="E117" s="38" t="n"/>
      <c r="F117" s="57">
        <f>IF(E117="","",IFERROR(INDEX(Referensi!$C$5:$C$60,MATCH(E117,Referensi!$A$5:$A$60,0)),"?"))</f>
        <v/>
      </c>
      <c r="G117" s="38" t="n"/>
      <c r="H117" s="59" t="n"/>
      <c r="I117" s="38" t="n"/>
      <c r="J117" s="39" t="n"/>
      <c r="K117" s="60">
        <f>IF(J117="","",SUMIFS(J$5:J117,D$5:D117,"Masuk")-SUMIFS(J$5:J117,D$5:D117,"Keluar"))</f>
        <v/>
      </c>
      <c r="L117" s="38" t="n"/>
      <c r="M117" s="38" t="n"/>
      <c r="N117" s="57">
        <f>IF(E117="","",IFERROR(IF(INDEX(Referensi!$B$5:$B$60,MATCH(E117,Referensi!$A$5:$A$60,0))=D117,"OK","Jenis tidak cocok"),"Kategori tidak dikenal"))</f>
        <v/>
      </c>
    </row>
    <row r="118" ht="15" customHeight="1" s="33">
      <c r="A118" s="57">
        <f>IF(B118="","",ROW()-4)</f>
        <v/>
      </c>
      <c r="B118" s="58" t="n"/>
      <c r="C118" s="38" t="n"/>
      <c r="D118" s="38" t="n"/>
      <c r="E118" s="38" t="n"/>
      <c r="F118" s="57">
        <f>IF(E118="","",IFERROR(INDEX(Referensi!$C$5:$C$60,MATCH(E118,Referensi!$A$5:$A$60,0)),"?"))</f>
        <v/>
      </c>
      <c r="G118" s="38" t="n"/>
      <c r="H118" s="59" t="n"/>
      <c r="I118" s="38" t="n"/>
      <c r="J118" s="39" t="n"/>
      <c r="K118" s="60">
        <f>IF(J118="","",SUMIFS(J$5:J118,D$5:D118,"Masuk")-SUMIFS(J$5:J118,D$5:D118,"Keluar"))</f>
        <v/>
      </c>
      <c r="L118" s="38" t="n"/>
      <c r="M118" s="38" t="n"/>
      <c r="N118" s="57">
        <f>IF(E118="","",IFERROR(IF(INDEX(Referensi!$B$5:$B$60,MATCH(E118,Referensi!$A$5:$A$60,0))=D118,"OK","Jenis tidak cocok"),"Kategori tidak dikenal"))</f>
        <v/>
      </c>
    </row>
    <row r="119" ht="15" customHeight="1" s="33">
      <c r="A119" s="57">
        <f>IF(B119="","",ROW()-4)</f>
        <v/>
      </c>
      <c r="B119" s="58" t="n"/>
      <c r="C119" s="38" t="n"/>
      <c r="D119" s="38" t="n"/>
      <c r="E119" s="38" t="n"/>
      <c r="F119" s="57">
        <f>IF(E119="","",IFERROR(INDEX(Referensi!$C$5:$C$60,MATCH(E119,Referensi!$A$5:$A$60,0)),"?"))</f>
        <v/>
      </c>
      <c r="G119" s="38" t="n"/>
      <c r="H119" s="59" t="n"/>
      <c r="I119" s="38" t="n"/>
      <c r="J119" s="39" t="n"/>
      <c r="K119" s="60">
        <f>IF(J119="","",SUMIFS(J$5:J119,D$5:D119,"Masuk")-SUMIFS(J$5:J119,D$5:D119,"Keluar"))</f>
        <v/>
      </c>
      <c r="L119" s="38" t="n"/>
      <c r="M119" s="38" t="n"/>
      <c r="N119" s="57">
        <f>IF(E119="","",IFERROR(IF(INDEX(Referensi!$B$5:$B$60,MATCH(E119,Referensi!$A$5:$A$60,0))=D119,"OK","Jenis tidak cocok"),"Kategori tidak dikenal"))</f>
        <v/>
      </c>
    </row>
    <row r="120" ht="15" customHeight="1" s="33">
      <c r="A120" s="57">
        <f>IF(B120="","",ROW()-4)</f>
        <v/>
      </c>
      <c r="B120" s="58" t="n"/>
      <c r="C120" s="38" t="n"/>
      <c r="D120" s="38" t="n"/>
      <c r="E120" s="38" t="n"/>
      <c r="F120" s="57">
        <f>IF(E120="","",IFERROR(INDEX(Referensi!$C$5:$C$60,MATCH(E120,Referensi!$A$5:$A$60,0)),"?"))</f>
        <v/>
      </c>
      <c r="G120" s="38" t="n"/>
      <c r="H120" s="59" t="n"/>
      <c r="I120" s="38" t="n"/>
      <c r="J120" s="39" t="n"/>
      <c r="K120" s="60">
        <f>IF(J120="","",SUMIFS(J$5:J120,D$5:D120,"Masuk")-SUMIFS(J$5:J120,D$5:D120,"Keluar"))</f>
        <v/>
      </c>
      <c r="L120" s="38" t="n"/>
      <c r="M120" s="38" t="n"/>
      <c r="N120" s="57">
        <f>IF(E120="","",IFERROR(IF(INDEX(Referensi!$B$5:$B$60,MATCH(E120,Referensi!$A$5:$A$60,0))=D120,"OK","Jenis tidak cocok"),"Kategori tidak dikenal"))</f>
        <v/>
      </c>
    </row>
    <row r="121" ht="15" customHeight="1" s="33">
      <c r="A121" s="57">
        <f>IF(B121="","",ROW()-4)</f>
        <v/>
      </c>
      <c r="B121" s="58" t="n"/>
      <c r="C121" s="38" t="n"/>
      <c r="D121" s="38" t="n"/>
      <c r="E121" s="38" t="n"/>
      <c r="F121" s="57">
        <f>IF(E121="","",IFERROR(INDEX(Referensi!$C$5:$C$60,MATCH(E121,Referensi!$A$5:$A$60,0)),"?"))</f>
        <v/>
      </c>
      <c r="G121" s="38" t="n"/>
      <c r="H121" s="59" t="n"/>
      <c r="I121" s="38" t="n"/>
      <c r="J121" s="39" t="n"/>
      <c r="K121" s="60">
        <f>IF(J121="","",SUMIFS(J$5:J121,D$5:D121,"Masuk")-SUMIFS(J$5:J121,D$5:D121,"Keluar"))</f>
        <v/>
      </c>
      <c r="L121" s="38" t="n"/>
      <c r="M121" s="38" t="n"/>
      <c r="N121" s="57">
        <f>IF(E121="","",IFERROR(IF(INDEX(Referensi!$B$5:$B$60,MATCH(E121,Referensi!$A$5:$A$60,0))=D121,"OK","Jenis tidak cocok"),"Kategori tidak dikenal"))</f>
        <v/>
      </c>
    </row>
    <row r="122" ht="15" customHeight="1" s="33">
      <c r="A122" s="57">
        <f>IF(B122="","",ROW()-4)</f>
        <v/>
      </c>
      <c r="B122" s="58" t="n"/>
      <c r="C122" s="38" t="n"/>
      <c r="D122" s="38" t="n"/>
      <c r="E122" s="38" t="n"/>
      <c r="F122" s="57">
        <f>IF(E122="","",IFERROR(INDEX(Referensi!$C$5:$C$60,MATCH(E122,Referensi!$A$5:$A$60,0)),"?"))</f>
        <v/>
      </c>
      <c r="G122" s="38" t="n"/>
      <c r="H122" s="59" t="n"/>
      <c r="I122" s="38" t="n"/>
      <c r="J122" s="39" t="n"/>
      <c r="K122" s="60">
        <f>IF(J122="","",SUMIFS(J$5:J122,D$5:D122,"Masuk")-SUMIFS(J$5:J122,D$5:D122,"Keluar"))</f>
        <v/>
      </c>
      <c r="L122" s="38" t="n"/>
      <c r="M122" s="38" t="n"/>
      <c r="N122" s="57">
        <f>IF(E122="","",IFERROR(IF(INDEX(Referensi!$B$5:$B$60,MATCH(E122,Referensi!$A$5:$A$60,0))=D122,"OK","Jenis tidak cocok"),"Kategori tidak dikenal"))</f>
        <v/>
      </c>
    </row>
    <row r="123" ht="15" customHeight="1" s="33">
      <c r="A123" s="57">
        <f>IF(B123="","",ROW()-4)</f>
        <v/>
      </c>
      <c r="B123" s="58" t="n"/>
      <c r="C123" s="38" t="n"/>
      <c r="D123" s="38" t="n"/>
      <c r="E123" s="38" t="n"/>
      <c r="F123" s="57">
        <f>IF(E123="","",IFERROR(INDEX(Referensi!$C$5:$C$60,MATCH(E123,Referensi!$A$5:$A$60,0)),"?"))</f>
        <v/>
      </c>
      <c r="G123" s="38" t="n"/>
      <c r="H123" s="59" t="n"/>
      <c r="I123" s="38" t="n"/>
      <c r="J123" s="39" t="n"/>
      <c r="K123" s="60">
        <f>IF(J123="","",SUMIFS(J$5:J123,D$5:D123,"Masuk")-SUMIFS(J$5:J123,D$5:D123,"Keluar"))</f>
        <v/>
      </c>
      <c r="L123" s="38" t="n"/>
      <c r="M123" s="38" t="n"/>
      <c r="N123" s="57">
        <f>IF(E123="","",IFERROR(IF(INDEX(Referensi!$B$5:$B$60,MATCH(E123,Referensi!$A$5:$A$60,0))=D123,"OK","Jenis tidak cocok"),"Kategori tidak dikenal"))</f>
        <v/>
      </c>
    </row>
    <row r="124" ht="15" customHeight="1" s="33">
      <c r="A124" s="57">
        <f>IF(B124="","",ROW()-4)</f>
        <v/>
      </c>
      <c r="B124" s="58" t="n"/>
      <c r="C124" s="38" t="n"/>
      <c r="D124" s="38" t="n"/>
      <c r="E124" s="38" t="n"/>
      <c r="F124" s="57">
        <f>IF(E124="","",IFERROR(INDEX(Referensi!$C$5:$C$60,MATCH(E124,Referensi!$A$5:$A$60,0)),"?"))</f>
        <v/>
      </c>
      <c r="G124" s="38" t="n"/>
      <c r="H124" s="59" t="n"/>
      <c r="I124" s="38" t="n"/>
      <c r="J124" s="39" t="n"/>
      <c r="K124" s="60">
        <f>IF(J124="","",SUMIFS(J$5:J124,D$5:D124,"Masuk")-SUMIFS(J$5:J124,D$5:D124,"Keluar"))</f>
        <v/>
      </c>
      <c r="L124" s="38" t="n"/>
      <c r="M124" s="38" t="n"/>
      <c r="N124" s="57">
        <f>IF(E124="","",IFERROR(IF(INDEX(Referensi!$B$5:$B$60,MATCH(E124,Referensi!$A$5:$A$60,0))=D124,"OK","Jenis tidak cocok"),"Kategori tidak dikenal"))</f>
        <v/>
      </c>
    </row>
    <row r="125" ht="15" customHeight="1" s="33">
      <c r="A125" s="57">
        <f>IF(B125="","",ROW()-4)</f>
        <v/>
      </c>
      <c r="B125" s="58" t="n"/>
      <c r="C125" s="38" t="n"/>
      <c r="D125" s="38" t="n"/>
      <c r="E125" s="38" t="n"/>
      <c r="F125" s="57">
        <f>IF(E125="","",IFERROR(INDEX(Referensi!$C$5:$C$60,MATCH(E125,Referensi!$A$5:$A$60,0)),"?"))</f>
        <v/>
      </c>
      <c r="G125" s="38" t="n"/>
      <c r="H125" s="59" t="n"/>
      <c r="I125" s="38" t="n"/>
      <c r="J125" s="39" t="n"/>
      <c r="K125" s="60">
        <f>IF(J125="","",SUMIFS(J$5:J125,D$5:D125,"Masuk")-SUMIFS(J$5:J125,D$5:D125,"Keluar"))</f>
        <v/>
      </c>
      <c r="L125" s="38" t="n"/>
      <c r="M125" s="38" t="n"/>
      <c r="N125" s="57">
        <f>IF(E125="","",IFERROR(IF(INDEX(Referensi!$B$5:$B$60,MATCH(E125,Referensi!$A$5:$A$60,0))=D125,"OK","Jenis tidak cocok"),"Kategori tidak dikenal"))</f>
        <v/>
      </c>
    </row>
    <row r="126" ht="15" customHeight="1" s="33">
      <c r="A126" s="57">
        <f>IF(B126="","",ROW()-4)</f>
        <v/>
      </c>
      <c r="B126" s="58" t="n"/>
      <c r="C126" s="38" t="n"/>
      <c r="D126" s="38" t="n"/>
      <c r="E126" s="38" t="n"/>
      <c r="F126" s="57">
        <f>IF(E126="","",IFERROR(INDEX(Referensi!$C$5:$C$60,MATCH(E126,Referensi!$A$5:$A$60,0)),"?"))</f>
        <v/>
      </c>
      <c r="G126" s="38" t="n"/>
      <c r="H126" s="59" t="n"/>
      <c r="I126" s="38" t="n"/>
      <c r="J126" s="39" t="n"/>
      <c r="K126" s="60">
        <f>IF(J126="","",SUMIFS(J$5:J126,D$5:D126,"Masuk")-SUMIFS(J$5:J126,D$5:D126,"Keluar"))</f>
        <v/>
      </c>
      <c r="L126" s="38" t="n"/>
      <c r="M126" s="38" t="n"/>
      <c r="N126" s="57">
        <f>IF(E126="","",IFERROR(IF(INDEX(Referensi!$B$5:$B$60,MATCH(E126,Referensi!$A$5:$A$60,0))=D126,"OK","Jenis tidak cocok"),"Kategori tidak dikenal"))</f>
        <v/>
      </c>
    </row>
    <row r="127" ht="15" customHeight="1" s="33">
      <c r="A127" s="57">
        <f>IF(B127="","",ROW()-4)</f>
        <v/>
      </c>
      <c r="B127" s="58" t="n"/>
      <c r="C127" s="38" t="n"/>
      <c r="D127" s="38" t="n"/>
      <c r="E127" s="38" t="n"/>
      <c r="F127" s="57">
        <f>IF(E127="","",IFERROR(INDEX(Referensi!$C$5:$C$60,MATCH(E127,Referensi!$A$5:$A$60,0)),"?"))</f>
        <v/>
      </c>
      <c r="G127" s="38" t="n"/>
      <c r="H127" s="59" t="n"/>
      <c r="I127" s="38" t="n"/>
      <c r="J127" s="39" t="n"/>
      <c r="K127" s="60">
        <f>IF(J127="","",SUMIFS(J$5:J127,D$5:D127,"Masuk")-SUMIFS(J$5:J127,D$5:D127,"Keluar"))</f>
        <v/>
      </c>
      <c r="L127" s="38" t="n"/>
      <c r="M127" s="38" t="n"/>
      <c r="N127" s="57">
        <f>IF(E127="","",IFERROR(IF(INDEX(Referensi!$B$5:$B$60,MATCH(E127,Referensi!$A$5:$A$60,0))=D127,"OK","Jenis tidak cocok"),"Kategori tidak dikenal"))</f>
        <v/>
      </c>
    </row>
    <row r="128" ht="15" customHeight="1" s="33">
      <c r="A128" s="57">
        <f>IF(B128="","",ROW()-4)</f>
        <v/>
      </c>
      <c r="B128" s="58" t="n"/>
      <c r="C128" s="38" t="n"/>
      <c r="D128" s="38" t="n"/>
      <c r="E128" s="38" t="n"/>
      <c r="F128" s="57">
        <f>IF(E128="","",IFERROR(INDEX(Referensi!$C$5:$C$60,MATCH(E128,Referensi!$A$5:$A$60,0)),"?"))</f>
        <v/>
      </c>
      <c r="G128" s="38" t="n"/>
      <c r="H128" s="59" t="n"/>
      <c r="I128" s="38" t="n"/>
      <c r="J128" s="39" t="n"/>
      <c r="K128" s="60">
        <f>IF(J128="","",SUMIFS(J$5:J128,D$5:D128,"Masuk")-SUMIFS(J$5:J128,D$5:D128,"Keluar"))</f>
        <v/>
      </c>
      <c r="L128" s="38" t="n"/>
      <c r="M128" s="38" t="n"/>
      <c r="N128" s="57">
        <f>IF(E128="","",IFERROR(IF(INDEX(Referensi!$B$5:$B$60,MATCH(E128,Referensi!$A$5:$A$60,0))=D128,"OK","Jenis tidak cocok"),"Kategori tidak dikenal"))</f>
        <v/>
      </c>
    </row>
    <row r="129" ht="15" customHeight="1" s="33">
      <c r="A129" s="57">
        <f>IF(B129="","",ROW()-4)</f>
        <v/>
      </c>
      <c r="B129" s="58" t="n"/>
      <c r="C129" s="38" t="n"/>
      <c r="D129" s="38" t="n"/>
      <c r="E129" s="38" t="n"/>
      <c r="F129" s="57">
        <f>IF(E129="","",IFERROR(INDEX(Referensi!$C$5:$C$60,MATCH(E129,Referensi!$A$5:$A$60,0)),"?"))</f>
        <v/>
      </c>
      <c r="G129" s="38" t="n"/>
      <c r="H129" s="59" t="n"/>
      <c r="I129" s="38" t="n"/>
      <c r="J129" s="39" t="n"/>
      <c r="K129" s="60">
        <f>IF(J129="","",SUMIFS(J$5:J129,D$5:D129,"Masuk")-SUMIFS(J$5:J129,D$5:D129,"Keluar"))</f>
        <v/>
      </c>
      <c r="L129" s="38" t="n"/>
      <c r="M129" s="38" t="n"/>
      <c r="N129" s="57">
        <f>IF(E129="","",IFERROR(IF(INDEX(Referensi!$B$5:$B$60,MATCH(E129,Referensi!$A$5:$A$60,0))=D129,"OK","Jenis tidak cocok"),"Kategori tidak dikenal"))</f>
        <v/>
      </c>
    </row>
    <row r="130" ht="15" customHeight="1" s="33">
      <c r="A130" s="57">
        <f>IF(B130="","",ROW()-4)</f>
        <v/>
      </c>
      <c r="B130" s="58" t="n"/>
      <c r="C130" s="38" t="n"/>
      <c r="D130" s="38" t="n"/>
      <c r="E130" s="38" t="n"/>
      <c r="F130" s="57">
        <f>IF(E130="","",IFERROR(INDEX(Referensi!$C$5:$C$60,MATCH(E130,Referensi!$A$5:$A$60,0)),"?"))</f>
        <v/>
      </c>
      <c r="G130" s="38" t="n"/>
      <c r="H130" s="59" t="n"/>
      <c r="I130" s="38" t="n"/>
      <c r="J130" s="39" t="n"/>
      <c r="K130" s="60">
        <f>IF(J130="","",SUMIFS(J$5:J130,D$5:D130,"Masuk")-SUMIFS(J$5:J130,D$5:D130,"Keluar"))</f>
        <v/>
      </c>
      <c r="L130" s="38" t="n"/>
      <c r="M130" s="38" t="n"/>
      <c r="N130" s="57">
        <f>IF(E130="","",IFERROR(IF(INDEX(Referensi!$B$5:$B$60,MATCH(E130,Referensi!$A$5:$A$60,0))=D130,"OK","Jenis tidak cocok"),"Kategori tidak dikenal"))</f>
        <v/>
      </c>
    </row>
    <row r="131" ht="15" customHeight="1" s="33">
      <c r="A131" s="57">
        <f>IF(B131="","",ROW()-4)</f>
        <v/>
      </c>
      <c r="B131" s="58" t="n"/>
      <c r="C131" s="38" t="n"/>
      <c r="D131" s="38" t="n"/>
      <c r="E131" s="38" t="n"/>
      <c r="F131" s="57">
        <f>IF(E131="","",IFERROR(INDEX(Referensi!$C$5:$C$60,MATCH(E131,Referensi!$A$5:$A$60,0)),"?"))</f>
        <v/>
      </c>
      <c r="G131" s="38" t="n"/>
      <c r="H131" s="59" t="n"/>
      <c r="I131" s="38" t="n"/>
      <c r="J131" s="39" t="n"/>
      <c r="K131" s="60">
        <f>IF(J131="","",SUMIFS(J$5:J131,D$5:D131,"Masuk")-SUMIFS(J$5:J131,D$5:D131,"Keluar"))</f>
        <v/>
      </c>
      <c r="L131" s="38" t="n"/>
      <c r="M131" s="38" t="n"/>
      <c r="N131" s="57">
        <f>IF(E131="","",IFERROR(IF(INDEX(Referensi!$B$5:$B$60,MATCH(E131,Referensi!$A$5:$A$60,0))=D131,"OK","Jenis tidak cocok"),"Kategori tidak dikenal"))</f>
        <v/>
      </c>
    </row>
    <row r="132" ht="15" customHeight="1" s="33">
      <c r="A132" s="57">
        <f>IF(B132="","",ROW()-4)</f>
        <v/>
      </c>
      <c r="B132" s="58" t="n"/>
      <c r="C132" s="38" t="n"/>
      <c r="D132" s="38" t="n"/>
      <c r="E132" s="38" t="n"/>
      <c r="F132" s="57">
        <f>IF(E132="","",IFERROR(INDEX(Referensi!$C$5:$C$60,MATCH(E132,Referensi!$A$5:$A$60,0)),"?"))</f>
        <v/>
      </c>
      <c r="G132" s="38" t="n"/>
      <c r="H132" s="59" t="n"/>
      <c r="I132" s="38" t="n"/>
      <c r="J132" s="39" t="n"/>
      <c r="K132" s="60">
        <f>IF(J132="","",SUMIFS(J$5:J132,D$5:D132,"Masuk")-SUMIFS(J$5:J132,D$5:D132,"Keluar"))</f>
        <v/>
      </c>
      <c r="L132" s="38" t="n"/>
      <c r="M132" s="38" t="n"/>
      <c r="N132" s="57">
        <f>IF(E132="","",IFERROR(IF(INDEX(Referensi!$B$5:$B$60,MATCH(E132,Referensi!$A$5:$A$60,0))=D132,"OK","Jenis tidak cocok"),"Kategori tidak dikenal"))</f>
        <v/>
      </c>
    </row>
    <row r="133" ht="15" customHeight="1" s="33">
      <c r="A133" s="57">
        <f>IF(B133="","",ROW()-4)</f>
        <v/>
      </c>
      <c r="B133" s="58" t="n"/>
      <c r="C133" s="38" t="n"/>
      <c r="D133" s="38" t="n"/>
      <c r="E133" s="38" t="n"/>
      <c r="F133" s="57">
        <f>IF(E133="","",IFERROR(INDEX(Referensi!$C$5:$C$60,MATCH(E133,Referensi!$A$5:$A$60,0)),"?"))</f>
        <v/>
      </c>
      <c r="G133" s="38" t="n"/>
      <c r="H133" s="59" t="n"/>
      <c r="I133" s="38" t="n"/>
      <c r="J133" s="39" t="n"/>
      <c r="K133" s="60">
        <f>IF(J133="","",SUMIFS(J$5:J133,D$5:D133,"Masuk")-SUMIFS(J$5:J133,D$5:D133,"Keluar"))</f>
        <v/>
      </c>
      <c r="L133" s="38" t="n"/>
      <c r="M133" s="38" t="n"/>
      <c r="N133" s="57">
        <f>IF(E133="","",IFERROR(IF(INDEX(Referensi!$B$5:$B$60,MATCH(E133,Referensi!$A$5:$A$60,0))=D133,"OK","Jenis tidak cocok"),"Kategori tidak dikenal"))</f>
        <v/>
      </c>
    </row>
    <row r="134" ht="15" customHeight="1" s="33">
      <c r="A134" s="57">
        <f>IF(B134="","",ROW()-4)</f>
        <v/>
      </c>
      <c r="B134" s="58" t="n"/>
      <c r="C134" s="38" t="n"/>
      <c r="D134" s="38" t="n"/>
      <c r="E134" s="38" t="n"/>
      <c r="F134" s="57">
        <f>IF(E134="","",IFERROR(INDEX(Referensi!$C$5:$C$60,MATCH(E134,Referensi!$A$5:$A$60,0)),"?"))</f>
        <v/>
      </c>
      <c r="G134" s="38" t="n"/>
      <c r="H134" s="59" t="n"/>
      <c r="I134" s="38" t="n"/>
      <c r="J134" s="39" t="n"/>
      <c r="K134" s="60">
        <f>IF(J134="","",SUMIFS(J$5:J134,D$5:D134,"Masuk")-SUMIFS(J$5:J134,D$5:D134,"Keluar"))</f>
        <v/>
      </c>
      <c r="L134" s="38" t="n"/>
      <c r="M134" s="38" t="n"/>
      <c r="N134" s="57">
        <f>IF(E134="","",IFERROR(IF(INDEX(Referensi!$B$5:$B$60,MATCH(E134,Referensi!$A$5:$A$60,0))=D134,"OK","Jenis tidak cocok"),"Kategori tidak dikenal"))</f>
        <v/>
      </c>
    </row>
    <row r="135" ht="15" customHeight="1" s="33">
      <c r="A135" s="57">
        <f>IF(B135="","",ROW()-4)</f>
        <v/>
      </c>
      <c r="B135" s="58" t="n"/>
      <c r="C135" s="38" t="n"/>
      <c r="D135" s="38" t="n"/>
      <c r="E135" s="38" t="n"/>
      <c r="F135" s="57">
        <f>IF(E135="","",IFERROR(INDEX(Referensi!$C$5:$C$60,MATCH(E135,Referensi!$A$5:$A$60,0)),"?"))</f>
        <v/>
      </c>
      <c r="G135" s="38" t="n"/>
      <c r="H135" s="59" t="n"/>
      <c r="I135" s="38" t="n"/>
      <c r="J135" s="39" t="n"/>
      <c r="K135" s="60">
        <f>IF(J135="","",SUMIFS(J$5:J135,D$5:D135,"Masuk")-SUMIFS(J$5:J135,D$5:D135,"Keluar"))</f>
        <v/>
      </c>
      <c r="L135" s="38" t="n"/>
      <c r="M135" s="38" t="n"/>
      <c r="N135" s="57">
        <f>IF(E135="","",IFERROR(IF(INDEX(Referensi!$B$5:$B$60,MATCH(E135,Referensi!$A$5:$A$60,0))=D135,"OK","Jenis tidak cocok"),"Kategori tidak dikenal"))</f>
        <v/>
      </c>
    </row>
    <row r="136" ht="15" customHeight="1" s="33">
      <c r="A136" s="57">
        <f>IF(B136="","",ROW()-4)</f>
        <v/>
      </c>
      <c r="B136" s="58" t="n"/>
      <c r="C136" s="38" t="n"/>
      <c r="D136" s="38" t="n"/>
      <c r="E136" s="38" t="n"/>
      <c r="F136" s="57">
        <f>IF(E136="","",IFERROR(INDEX(Referensi!$C$5:$C$60,MATCH(E136,Referensi!$A$5:$A$60,0)),"?"))</f>
        <v/>
      </c>
      <c r="G136" s="38" t="n"/>
      <c r="H136" s="59" t="n"/>
      <c r="I136" s="38" t="n"/>
      <c r="J136" s="39" t="n"/>
      <c r="K136" s="60">
        <f>IF(J136="","",SUMIFS(J$5:J136,D$5:D136,"Masuk")-SUMIFS(J$5:J136,D$5:D136,"Keluar"))</f>
        <v/>
      </c>
      <c r="L136" s="38" t="n"/>
      <c r="M136" s="38" t="n"/>
      <c r="N136" s="57">
        <f>IF(E136="","",IFERROR(IF(INDEX(Referensi!$B$5:$B$60,MATCH(E136,Referensi!$A$5:$A$60,0))=D136,"OK","Jenis tidak cocok"),"Kategori tidak dikenal"))</f>
        <v/>
      </c>
    </row>
    <row r="137" ht="15" customHeight="1" s="33">
      <c r="A137" s="57">
        <f>IF(B137="","",ROW()-4)</f>
        <v/>
      </c>
      <c r="B137" s="58" t="n"/>
      <c r="C137" s="38" t="n"/>
      <c r="D137" s="38" t="n"/>
      <c r="E137" s="38" t="n"/>
      <c r="F137" s="57">
        <f>IF(E137="","",IFERROR(INDEX(Referensi!$C$5:$C$60,MATCH(E137,Referensi!$A$5:$A$60,0)),"?"))</f>
        <v/>
      </c>
      <c r="G137" s="38" t="n"/>
      <c r="H137" s="59" t="n"/>
      <c r="I137" s="38" t="n"/>
      <c r="J137" s="39" t="n"/>
      <c r="K137" s="60">
        <f>IF(J137="","",SUMIFS(J$5:J137,D$5:D137,"Masuk")-SUMIFS(J$5:J137,D$5:D137,"Keluar"))</f>
        <v/>
      </c>
      <c r="L137" s="38" t="n"/>
      <c r="M137" s="38" t="n"/>
      <c r="N137" s="57">
        <f>IF(E137="","",IFERROR(IF(INDEX(Referensi!$B$5:$B$60,MATCH(E137,Referensi!$A$5:$A$60,0))=D137,"OK","Jenis tidak cocok"),"Kategori tidak dikenal"))</f>
        <v/>
      </c>
    </row>
    <row r="138" ht="15" customHeight="1" s="33">
      <c r="A138" s="57">
        <f>IF(B138="","",ROW()-4)</f>
        <v/>
      </c>
      <c r="B138" s="58" t="n"/>
      <c r="C138" s="38" t="n"/>
      <c r="D138" s="38" t="n"/>
      <c r="E138" s="38" t="n"/>
      <c r="F138" s="57">
        <f>IF(E138="","",IFERROR(INDEX(Referensi!$C$5:$C$60,MATCH(E138,Referensi!$A$5:$A$60,0)),"?"))</f>
        <v/>
      </c>
      <c r="G138" s="38" t="n"/>
      <c r="H138" s="59" t="n"/>
      <c r="I138" s="38" t="n"/>
      <c r="J138" s="39" t="n"/>
      <c r="K138" s="60">
        <f>IF(J138="","",SUMIFS(J$5:J138,D$5:D138,"Masuk")-SUMIFS(J$5:J138,D$5:D138,"Keluar"))</f>
        <v/>
      </c>
      <c r="L138" s="38" t="n"/>
      <c r="M138" s="38" t="n"/>
      <c r="N138" s="57">
        <f>IF(E138="","",IFERROR(IF(INDEX(Referensi!$B$5:$B$60,MATCH(E138,Referensi!$A$5:$A$60,0))=D138,"OK","Jenis tidak cocok"),"Kategori tidak dikenal"))</f>
        <v/>
      </c>
    </row>
    <row r="139" ht="15" customHeight="1" s="33">
      <c r="A139" s="57">
        <f>IF(B139="","",ROW()-4)</f>
        <v/>
      </c>
      <c r="B139" s="58" t="n"/>
      <c r="C139" s="38" t="n"/>
      <c r="D139" s="38" t="n"/>
      <c r="E139" s="38" t="n"/>
      <c r="F139" s="57">
        <f>IF(E139="","",IFERROR(INDEX(Referensi!$C$5:$C$60,MATCH(E139,Referensi!$A$5:$A$60,0)),"?"))</f>
        <v/>
      </c>
      <c r="G139" s="38" t="n"/>
      <c r="H139" s="59" t="n"/>
      <c r="I139" s="38" t="n"/>
      <c r="J139" s="39" t="n"/>
      <c r="K139" s="60">
        <f>IF(J139="","",SUMIFS(J$5:J139,D$5:D139,"Masuk")-SUMIFS(J$5:J139,D$5:D139,"Keluar"))</f>
        <v/>
      </c>
      <c r="L139" s="38" t="n"/>
      <c r="M139" s="38" t="n"/>
      <c r="N139" s="57">
        <f>IF(E139="","",IFERROR(IF(INDEX(Referensi!$B$5:$B$60,MATCH(E139,Referensi!$A$5:$A$60,0))=D139,"OK","Jenis tidak cocok"),"Kategori tidak dikenal"))</f>
        <v/>
      </c>
    </row>
    <row r="140" ht="15" customHeight="1" s="33">
      <c r="A140" s="57">
        <f>IF(B140="","",ROW()-4)</f>
        <v/>
      </c>
      <c r="B140" s="58" t="n"/>
      <c r="C140" s="38" t="n"/>
      <c r="D140" s="38" t="n"/>
      <c r="E140" s="38" t="n"/>
      <c r="F140" s="57">
        <f>IF(E140="","",IFERROR(INDEX(Referensi!$C$5:$C$60,MATCH(E140,Referensi!$A$5:$A$60,0)),"?"))</f>
        <v/>
      </c>
      <c r="G140" s="38" t="n"/>
      <c r="H140" s="59" t="n"/>
      <c r="I140" s="38" t="n"/>
      <c r="J140" s="39" t="n"/>
      <c r="K140" s="60">
        <f>IF(J140="","",SUMIFS(J$5:J140,D$5:D140,"Masuk")-SUMIFS(J$5:J140,D$5:D140,"Keluar"))</f>
        <v/>
      </c>
      <c r="L140" s="38" t="n"/>
      <c r="M140" s="38" t="n"/>
      <c r="N140" s="57">
        <f>IF(E140="","",IFERROR(IF(INDEX(Referensi!$B$5:$B$60,MATCH(E140,Referensi!$A$5:$A$60,0))=D140,"OK","Jenis tidak cocok"),"Kategori tidak dikenal"))</f>
        <v/>
      </c>
    </row>
    <row r="141" ht="15" customHeight="1" s="33">
      <c r="A141" s="57">
        <f>IF(B141="","",ROW()-4)</f>
        <v/>
      </c>
      <c r="B141" s="58" t="n"/>
      <c r="C141" s="38" t="n"/>
      <c r="D141" s="38" t="n"/>
      <c r="E141" s="38" t="n"/>
      <c r="F141" s="57">
        <f>IF(E141="","",IFERROR(INDEX(Referensi!$C$5:$C$60,MATCH(E141,Referensi!$A$5:$A$60,0)),"?"))</f>
        <v/>
      </c>
      <c r="G141" s="38" t="n"/>
      <c r="H141" s="59" t="n"/>
      <c r="I141" s="38" t="n"/>
      <c r="J141" s="39" t="n"/>
      <c r="K141" s="60">
        <f>IF(J141="","",SUMIFS(J$5:J141,D$5:D141,"Masuk")-SUMIFS(J$5:J141,D$5:D141,"Keluar"))</f>
        <v/>
      </c>
      <c r="L141" s="38" t="n"/>
      <c r="M141" s="38" t="n"/>
      <c r="N141" s="57">
        <f>IF(E141="","",IFERROR(IF(INDEX(Referensi!$B$5:$B$60,MATCH(E141,Referensi!$A$5:$A$60,0))=D141,"OK","Jenis tidak cocok"),"Kategori tidak dikenal"))</f>
        <v/>
      </c>
    </row>
    <row r="142" ht="15" customHeight="1" s="33">
      <c r="A142" s="57">
        <f>IF(B142="","",ROW()-4)</f>
        <v/>
      </c>
      <c r="B142" s="58" t="n"/>
      <c r="C142" s="38" t="n"/>
      <c r="D142" s="38" t="n"/>
      <c r="E142" s="38" t="n"/>
      <c r="F142" s="57">
        <f>IF(E142="","",IFERROR(INDEX(Referensi!$C$5:$C$60,MATCH(E142,Referensi!$A$5:$A$60,0)),"?"))</f>
        <v/>
      </c>
      <c r="G142" s="38" t="n"/>
      <c r="H142" s="59" t="n"/>
      <c r="I142" s="38" t="n"/>
      <c r="J142" s="39" t="n"/>
      <c r="K142" s="60">
        <f>IF(J142="","",SUMIFS(J$5:J142,D$5:D142,"Masuk")-SUMIFS(J$5:J142,D$5:D142,"Keluar"))</f>
        <v/>
      </c>
      <c r="L142" s="38" t="n"/>
      <c r="M142" s="38" t="n"/>
      <c r="N142" s="57">
        <f>IF(E142="","",IFERROR(IF(INDEX(Referensi!$B$5:$B$60,MATCH(E142,Referensi!$A$5:$A$60,0))=D142,"OK","Jenis tidak cocok"),"Kategori tidak dikenal"))</f>
        <v/>
      </c>
    </row>
    <row r="143" ht="15" customHeight="1" s="33">
      <c r="A143" s="57">
        <f>IF(B143="","",ROW()-4)</f>
        <v/>
      </c>
      <c r="B143" s="58" t="n"/>
      <c r="C143" s="38" t="n"/>
      <c r="D143" s="38" t="n"/>
      <c r="E143" s="38" t="n"/>
      <c r="F143" s="57">
        <f>IF(E143="","",IFERROR(INDEX(Referensi!$C$5:$C$60,MATCH(E143,Referensi!$A$5:$A$60,0)),"?"))</f>
        <v/>
      </c>
      <c r="G143" s="38" t="n"/>
      <c r="H143" s="59" t="n"/>
      <c r="I143" s="38" t="n"/>
      <c r="J143" s="39" t="n"/>
      <c r="K143" s="60">
        <f>IF(J143="","",SUMIFS(J$5:J143,D$5:D143,"Masuk")-SUMIFS(J$5:J143,D$5:D143,"Keluar"))</f>
        <v/>
      </c>
      <c r="L143" s="38" t="n"/>
      <c r="M143" s="38" t="n"/>
      <c r="N143" s="57">
        <f>IF(E143="","",IFERROR(IF(INDEX(Referensi!$B$5:$B$60,MATCH(E143,Referensi!$A$5:$A$60,0))=D143,"OK","Jenis tidak cocok"),"Kategori tidak dikenal"))</f>
        <v/>
      </c>
    </row>
    <row r="144" ht="15" customHeight="1" s="33">
      <c r="A144" s="57">
        <f>IF(B144="","",ROW()-4)</f>
        <v/>
      </c>
      <c r="B144" s="58" t="n"/>
      <c r="C144" s="38" t="n"/>
      <c r="D144" s="38" t="n"/>
      <c r="E144" s="38" t="n"/>
      <c r="F144" s="57">
        <f>IF(E144="","",IFERROR(INDEX(Referensi!$C$5:$C$60,MATCH(E144,Referensi!$A$5:$A$60,0)),"?"))</f>
        <v/>
      </c>
      <c r="G144" s="38" t="n"/>
      <c r="H144" s="59" t="n"/>
      <c r="I144" s="38" t="n"/>
      <c r="J144" s="39" t="n"/>
      <c r="K144" s="60">
        <f>IF(J144="","",SUMIFS(J$5:J144,D$5:D144,"Masuk")-SUMIFS(J$5:J144,D$5:D144,"Keluar"))</f>
        <v/>
      </c>
      <c r="L144" s="38" t="n"/>
      <c r="M144" s="38" t="n"/>
      <c r="N144" s="57">
        <f>IF(E144="","",IFERROR(IF(INDEX(Referensi!$B$5:$B$60,MATCH(E144,Referensi!$A$5:$A$60,0))=D144,"OK","Jenis tidak cocok"),"Kategori tidak dikenal"))</f>
        <v/>
      </c>
    </row>
    <row r="145" ht="15" customHeight="1" s="33">
      <c r="A145" s="57">
        <f>IF(B145="","",ROW()-4)</f>
        <v/>
      </c>
      <c r="B145" s="58" t="n"/>
      <c r="C145" s="38" t="n"/>
      <c r="D145" s="38" t="n"/>
      <c r="E145" s="38" t="n"/>
      <c r="F145" s="57">
        <f>IF(E145="","",IFERROR(INDEX(Referensi!$C$5:$C$60,MATCH(E145,Referensi!$A$5:$A$60,0)),"?"))</f>
        <v/>
      </c>
      <c r="G145" s="38" t="n"/>
      <c r="H145" s="59" t="n"/>
      <c r="I145" s="38" t="n"/>
      <c r="J145" s="39" t="n"/>
      <c r="K145" s="60">
        <f>IF(J145="","",SUMIFS(J$5:J145,D$5:D145,"Masuk")-SUMIFS(J$5:J145,D$5:D145,"Keluar"))</f>
        <v/>
      </c>
      <c r="L145" s="38" t="n"/>
      <c r="M145" s="38" t="n"/>
      <c r="N145" s="57">
        <f>IF(E145="","",IFERROR(IF(INDEX(Referensi!$B$5:$B$60,MATCH(E145,Referensi!$A$5:$A$60,0))=D145,"OK","Jenis tidak cocok"),"Kategori tidak dikenal"))</f>
        <v/>
      </c>
    </row>
    <row r="146" ht="15" customHeight="1" s="33">
      <c r="A146" s="57">
        <f>IF(B146="","",ROW()-4)</f>
        <v/>
      </c>
      <c r="B146" s="58" t="n"/>
      <c r="C146" s="38" t="n"/>
      <c r="D146" s="38" t="n"/>
      <c r="E146" s="38" t="n"/>
      <c r="F146" s="57">
        <f>IF(E146="","",IFERROR(INDEX(Referensi!$C$5:$C$60,MATCH(E146,Referensi!$A$5:$A$60,0)),"?"))</f>
        <v/>
      </c>
      <c r="G146" s="38" t="n"/>
      <c r="H146" s="59" t="n"/>
      <c r="I146" s="38" t="n"/>
      <c r="J146" s="39" t="n"/>
      <c r="K146" s="60">
        <f>IF(J146="","",SUMIFS(J$5:J146,D$5:D146,"Masuk")-SUMIFS(J$5:J146,D$5:D146,"Keluar"))</f>
        <v/>
      </c>
      <c r="L146" s="38" t="n"/>
      <c r="M146" s="38" t="n"/>
      <c r="N146" s="57">
        <f>IF(E146="","",IFERROR(IF(INDEX(Referensi!$B$5:$B$60,MATCH(E146,Referensi!$A$5:$A$60,0))=D146,"OK","Jenis tidak cocok"),"Kategori tidak dikenal"))</f>
        <v/>
      </c>
    </row>
    <row r="147" ht="15" customHeight="1" s="33">
      <c r="A147" s="57">
        <f>IF(B147="","",ROW()-4)</f>
        <v/>
      </c>
      <c r="B147" s="58" t="n"/>
      <c r="C147" s="38" t="n"/>
      <c r="D147" s="38" t="n"/>
      <c r="E147" s="38" t="n"/>
      <c r="F147" s="57">
        <f>IF(E147="","",IFERROR(INDEX(Referensi!$C$5:$C$60,MATCH(E147,Referensi!$A$5:$A$60,0)),"?"))</f>
        <v/>
      </c>
      <c r="G147" s="38" t="n"/>
      <c r="H147" s="59" t="n"/>
      <c r="I147" s="38" t="n"/>
      <c r="J147" s="39" t="n"/>
      <c r="K147" s="60">
        <f>IF(J147="","",SUMIFS(J$5:J147,D$5:D147,"Masuk")-SUMIFS(J$5:J147,D$5:D147,"Keluar"))</f>
        <v/>
      </c>
      <c r="L147" s="38" t="n"/>
      <c r="M147" s="38" t="n"/>
      <c r="N147" s="57">
        <f>IF(E147="","",IFERROR(IF(INDEX(Referensi!$B$5:$B$60,MATCH(E147,Referensi!$A$5:$A$60,0))=D147,"OK","Jenis tidak cocok"),"Kategori tidak dikenal"))</f>
        <v/>
      </c>
    </row>
    <row r="148" ht="15" customHeight="1" s="33">
      <c r="A148" s="57">
        <f>IF(B148="","",ROW()-4)</f>
        <v/>
      </c>
      <c r="B148" s="58" t="n"/>
      <c r="C148" s="38" t="n"/>
      <c r="D148" s="38" t="n"/>
      <c r="E148" s="38" t="n"/>
      <c r="F148" s="57">
        <f>IF(E148="","",IFERROR(INDEX(Referensi!$C$5:$C$60,MATCH(E148,Referensi!$A$5:$A$60,0)),"?"))</f>
        <v/>
      </c>
      <c r="G148" s="38" t="n"/>
      <c r="H148" s="59" t="n"/>
      <c r="I148" s="38" t="n"/>
      <c r="J148" s="39" t="n"/>
      <c r="K148" s="60">
        <f>IF(J148="","",SUMIFS(J$5:J148,D$5:D148,"Masuk")-SUMIFS(J$5:J148,D$5:D148,"Keluar"))</f>
        <v/>
      </c>
      <c r="L148" s="38" t="n"/>
      <c r="M148" s="38" t="n"/>
      <c r="N148" s="57">
        <f>IF(E148="","",IFERROR(IF(INDEX(Referensi!$B$5:$B$60,MATCH(E148,Referensi!$A$5:$A$60,0))=D148,"OK","Jenis tidak cocok"),"Kategori tidak dikenal"))</f>
        <v/>
      </c>
    </row>
    <row r="149" ht="15" customHeight="1" s="33">
      <c r="A149" s="57">
        <f>IF(B149="","",ROW()-4)</f>
        <v/>
      </c>
      <c r="B149" s="58" t="n"/>
      <c r="C149" s="38" t="n"/>
      <c r="D149" s="38" t="n"/>
      <c r="E149" s="38" t="n"/>
      <c r="F149" s="57">
        <f>IF(E149="","",IFERROR(INDEX(Referensi!$C$5:$C$60,MATCH(E149,Referensi!$A$5:$A$60,0)),"?"))</f>
        <v/>
      </c>
      <c r="G149" s="38" t="n"/>
      <c r="H149" s="59" t="n"/>
      <c r="I149" s="38" t="n"/>
      <c r="J149" s="39" t="n"/>
      <c r="K149" s="60">
        <f>IF(J149="","",SUMIFS(J$5:J149,D$5:D149,"Masuk")-SUMIFS(J$5:J149,D$5:D149,"Keluar"))</f>
        <v/>
      </c>
      <c r="L149" s="38" t="n"/>
      <c r="M149" s="38" t="n"/>
      <c r="N149" s="57">
        <f>IF(E149="","",IFERROR(IF(INDEX(Referensi!$B$5:$B$60,MATCH(E149,Referensi!$A$5:$A$60,0))=D149,"OK","Jenis tidak cocok"),"Kategori tidak dikenal"))</f>
        <v/>
      </c>
    </row>
    <row r="150" ht="15" customHeight="1" s="33">
      <c r="A150" s="57">
        <f>IF(B150="","",ROW()-4)</f>
        <v/>
      </c>
      <c r="B150" s="58" t="n"/>
      <c r="C150" s="38" t="n"/>
      <c r="D150" s="38" t="n"/>
      <c r="E150" s="38" t="n"/>
      <c r="F150" s="57">
        <f>IF(E150="","",IFERROR(INDEX(Referensi!$C$5:$C$60,MATCH(E150,Referensi!$A$5:$A$60,0)),"?"))</f>
        <v/>
      </c>
      <c r="G150" s="38" t="n"/>
      <c r="H150" s="59" t="n"/>
      <c r="I150" s="38" t="n"/>
      <c r="J150" s="39" t="n"/>
      <c r="K150" s="60">
        <f>IF(J150="","",SUMIFS(J$5:J150,D$5:D150,"Masuk")-SUMIFS(J$5:J150,D$5:D150,"Keluar"))</f>
        <v/>
      </c>
      <c r="L150" s="38" t="n"/>
      <c r="M150" s="38" t="n"/>
      <c r="N150" s="57">
        <f>IF(E150="","",IFERROR(IF(INDEX(Referensi!$B$5:$B$60,MATCH(E150,Referensi!$A$5:$A$60,0))=D150,"OK","Jenis tidak cocok"),"Kategori tidak dikenal"))</f>
        <v/>
      </c>
    </row>
    <row r="151" ht="15" customHeight="1" s="33">
      <c r="A151" s="57">
        <f>IF(B151="","",ROW()-4)</f>
        <v/>
      </c>
      <c r="B151" s="58" t="n"/>
      <c r="C151" s="38" t="n"/>
      <c r="D151" s="38" t="n"/>
      <c r="E151" s="38" t="n"/>
      <c r="F151" s="57">
        <f>IF(E151="","",IFERROR(INDEX(Referensi!$C$5:$C$60,MATCH(E151,Referensi!$A$5:$A$60,0)),"?"))</f>
        <v/>
      </c>
      <c r="G151" s="38" t="n"/>
      <c r="H151" s="59" t="n"/>
      <c r="I151" s="38" t="n"/>
      <c r="J151" s="39" t="n"/>
      <c r="K151" s="60">
        <f>IF(J151="","",SUMIFS(J$5:J151,D$5:D151,"Masuk")-SUMIFS(J$5:J151,D$5:D151,"Keluar"))</f>
        <v/>
      </c>
      <c r="L151" s="38" t="n"/>
      <c r="M151" s="38" t="n"/>
      <c r="N151" s="57">
        <f>IF(E151="","",IFERROR(IF(INDEX(Referensi!$B$5:$B$60,MATCH(E151,Referensi!$A$5:$A$60,0))=D151,"OK","Jenis tidak cocok"),"Kategori tidak dikenal"))</f>
        <v/>
      </c>
    </row>
    <row r="152" ht="15" customHeight="1" s="33">
      <c r="A152" s="57">
        <f>IF(B152="","",ROW()-4)</f>
        <v/>
      </c>
      <c r="B152" s="58" t="n"/>
      <c r="C152" s="38" t="n"/>
      <c r="D152" s="38" t="n"/>
      <c r="E152" s="38" t="n"/>
      <c r="F152" s="57">
        <f>IF(E152="","",IFERROR(INDEX(Referensi!$C$5:$C$60,MATCH(E152,Referensi!$A$5:$A$60,0)),"?"))</f>
        <v/>
      </c>
      <c r="G152" s="38" t="n"/>
      <c r="H152" s="59" t="n"/>
      <c r="I152" s="38" t="n"/>
      <c r="J152" s="39" t="n"/>
      <c r="K152" s="60">
        <f>IF(J152="","",SUMIFS(J$5:J152,D$5:D152,"Masuk")-SUMIFS(J$5:J152,D$5:D152,"Keluar"))</f>
        <v/>
      </c>
      <c r="L152" s="38" t="n"/>
      <c r="M152" s="38" t="n"/>
      <c r="N152" s="57">
        <f>IF(E152="","",IFERROR(IF(INDEX(Referensi!$B$5:$B$60,MATCH(E152,Referensi!$A$5:$A$60,0))=D152,"OK","Jenis tidak cocok"),"Kategori tidak dikenal"))</f>
        <v/>
      </c>
    </row>
    <row r="153" ht="15" customHeight="1" s="33">
      <c r="A153" s="57">
        <f>IF(B153="","",ROW()-4)</f>
        <v/>
      </c>
      <c r="B153" s="58" t="n"/>
      <c r="C153" s="38" t="n"/>
      <c r="D153" s="38" t="n"/>
      <c r="E153" s="38" t="n"/>
      <c r="F153" s="57">
        <f>IF(E153="","",IFERROR(INDEX(Referensi!$C$5:$C$60,MATCH(E153,Referensi!$A$5:$A$60,0)),"?"))</f>
        <v/>
      </c>
      <c r="G153" s="38" t="n"/>
      <c r="H153" s="59" t="n"/>
      <c r="I153" s="38" t="n"/>
      <c r="J153" s="39" t="n"/>
      <c r="K153" s="60">
        <f>IF(J153="","",SUMIFS(J$5:J153,D$5:D153,"Masuk")-SUMIFS(J$5:J153,D$5:D153,"Keluar"))</f>
        <v/>
      </c>
      <c r="L153" s="38" t="n"/>
      <c r="M153" s="38" t="n"/>
      <c r="N153" s="57">
        <f>IF(E153="","",IFERROR(IF(INDEX(Referensi!$B$5:$B$60,MATCH(E153,Referensi!$A$5:$A$60,0))=D153,"OK","Jenis tidak cocok"),"Kategori tidak dikenal"))</f>
        <v/>
      </c>
    </row>
    <row r="154" ht="15" customHeight="1" s="33">
      <c r="A154" s="57">
        <f>IF(B154="","",ROW()-4)</f>
        <v/>
      </c>
      <c r="B154" s="58" t="n"/>
      <c r="C154" s="38" t="n"/>
      <c r="D154" s="38" t="n"/>
      <c r="E154" s="38" t="n"/>
      <c r="F154" s="57">
        <f>IF(E154="","",IFERROR(INDEX(Referensi!$C$5:$C$60,MATCH(E154,Referensi!$A$5:$A$60,0)),"?"))</f>
        <v/>
      </c>
      <c r="G154" s="38" t="n"/>
      <c r="H154" s="59" t="n"/>
      <c r="I154" s="38" t="n"/>
      <c r="J154" s="39" t="n"/>
      <c r="K154" s="60">
        <f>IF(J154="","",SUMIFS(J$5:J154,D$5:D154,"Masuk")-SUMIFS(J$5:J154,D$5:D154,"Keluar"))</f>
        <v/>
      </c>
      <c r="L154" s="38" t="n"/>
      <c r="M154" s="38" t="n"/>
      <c r="N154" s="57">
        <f>IF(E154="","",IFERROR(IF(INDEX(Referensi!$B$5:$B$60,MATCH(E154,Referensi!$A$5:$A$60,0))=D154,"OK","Jenis tidak cocok"),"Kategori tidak dikenal"))</f>
        <v/>
      </c>
    </row>
    <row r="155" ht="15" customHeight="1" s="33">
      <c r="A155" s="57">
        <f>IF(B155="","",ROW()-4)</f>
        <v/>
      </c>
      <c r="B155" s="58" t="n"/>
      <c r="C155" s="38" t="n"/>
      <c r="D155" s="38" t="n"/>
      <c r="E155" s="38" t="n"/>
      <c r="F155" s="57">
        <f>IF(E155="","",IFERROR(INDEX(Referensi!$C$5:$C$60,MATCH(E155,Referensi!$A$5:$A$60,0)),"?"))</f>
        <v/>
      </c>
      <c r="G155" s="38" t="n"/>
      <c r="H155" s="59" t="n"/>
      <c r="I155" s="38" t="n"/>
      <c r="J155" s="39" t="n"/>
      <c r="K155" s="60">
        <f>IF(J155="","",SUMIFS(J$5:J155,D$5:D155,"Masuk")-SUMIFS(J$5:J155,D$5:D155,"Keluar"))</f>
        <v/>
      </c>
      <c r="L155" s="38" t="n"/>
      <c r="M155" s="38" t="n"/>
      <c r="N155" s="57">
        <f>IF(E155="","",IFERROR(IF(INDEX(Referensi!$B$5:$B$60,MATCH(E155,Referensi!$A$5:$A$60,0))=D155,"OK","Jenis tidak cocok"),"Kategori tidak dikenal"))</f>
        <v/>
      </c>
    </row>
    <row r="156" ht="15" customHeight="1" s="33">
      <c r="A156" s="57">
        <f>IF(B156="","",ROW()-4)</f>
        <v/>
      </c>
      <c r="B156" s="58" t="n"/>
      <c r="C156" s="38" t="n"/>
      <c r="D156" s="38" t="n"/>
      <c r="E156" s="38" t="n"/>
      <c r="F156" s="57">
        <f>IF(E156="","",IFERROR(INDEX(Referensi!$C$5:$C$60,MATCH(E156,Referensi!$A$5:$A$60,0)),"?"))</f>
        <v/>
      </c>
      <c r="G156" s="38" t="n"/>
      <c r="H156" s="59" t="n"/>
      <c r="I156" s="38" t="n"/>
      <c r="J156" s="39" t="n"/>
      <c r="K156" s="60">
        <f>IF(J156="","",SUMIFS(J$5:J156,D$5:D156,"Masuk")-SUMIFS(J$5:J156,D$5:D156,"Keluar"))</f>
        <v/>
      </c>
      <c r="L156" s="38" t="n"/>
      <c r="M156" s="38" t="n"/>
      <c r="N156" s="57">
        <f>IF(E156="","",IFERROR(IF(INDEX(Referensi!$B$5:$B$60,MATCH(E156,Referensi!$A$5:$A$60,0))=D156,"OK","Jenis tidak cocok"),"Kategori tidak dikenal"))</f>
        <v/>
      </c>
    </row>
    <row r="157" ht="15" customHeight="1" s="33">
      <c r="A157" s="57">
        <f>IF(B157="","",ROW()-4)</f>
        <v/>
      </c>
      <c r="B157" s="58" t="n"/>
      <c r="C157" s="38" t="n"/>
      <c r="D157" s="38" t="n"/>
      <c r="E157" s="38" t="n"/>
      <c r="F157" s="57">
        <f>IF(E157="","",IFERROR(INDEX(Referensi!$C$5:$C$60,MATCH(E157,Referensi!$A$5:$A$60,0)),"?"))</f>
        <v/>
      </c>
      <c r="G157" s="38" t="n"/>
      <c r="H157" s="59" t="n"/>
      <c r="I157" s="38" t="n"/>
      <c r="J157" s="39" t="n"/>
      <c r="K157" s="60">
        <f>IF(J157="","",SUMIFS(J$5:J157,D$5:D157,"Masuk")-SUMIFS(J$5:J157,D$5:D157,"Keluar"))</f>
        <v/>
      </c>
      <c r="L157" s="38" t="n"/>
      <c r="M157" s="38" t="n"/>
      <c r="N157" s="57">
        <f>IF(E157="","",IFERROR(IF(INDEX(Referensi!$B$5:$B$60,MATCH(E157,Referensi!$A$5:$A$60,0))=D157,"OK","Jenis tidak cocok"),"Kategori tidak dikenal"))</f>
        <v/>
      </c>
    </row>
    <row r="158" ht="15" customHeight="1" s="33">
      <c r="A158" s="57">
        <f>IF(B158="","",ROW()-4)</f>
        <v/>
      </c>
      <c r="B158" s="58" t="n"/>
      <c r="C158" s="38" t="n"/>
      <c r="D158" s="38" t="n"/>
      <c r="E158" s="38" t="n"/>
      <c r="F158" s="57">
        <f>IF(E158="","",IFERROR(INDEX(Referensi!$C$5:$C$60,MATCH(E158,Referensi!$A$5:$A$60,0)),"?"))</f>
        <v/>
      </c>
      <c r="G158" s="38" t="n"/>
      <c r="H158" s="59" t="n"/>
      <c r="I158" s="38" t="n"/>
      <c r="J158" s="39" t="n"/>
      <c r="K158" s="60">
        <f>IF(J158="","",SUMIFS(J$5:J158,D$5:D158,"Masuk")-SUMIFS(J$5:J158,D$5:D158,"Keluar"))</f>
        <v/>
      </c>
      <c r="L158" s="38" t="n"/>
      <c r="M158" s="38" t="n"/>
      <c r="N158" s="57">
        <f>IF(E158="","",IFERROR(IF(INDEX(Referensi!$B$5:$B$60,MATCH(E158,Referensi!$A$5:$A$60,0))=D158,"OK","Jenis tidak cocok"),"Kategori tidak dikenal"))</f>
        <v/>
      </c>
    </row>
    <row r="159" ht="15" customHeight="1" s="33">
      <c r="A159" s="57">
        <f>IF(B159="","",ROW()-4)</f>
        <v/>
      </c>
      <c r="B159" s="58" t="n"/>
      <c r="C159" s="38" t="n"/>
      <c r="D159" s="38" t="n"/>
      <c r="E159" s="38" t="n"/>
      <c r="F159" s="57">
        <f>IF(E159="","",IFERROR(INDEX(Referensi!$C$5:$C$60,MATCH(E159,Referensi!$A$5:$A$60,0)),"?"))</f>
        <v/>
      </c>
      <c r="G159" s="38" t="n"/>
      <c r="H159" s="59" t="n"/>
      <c r="I159" s="38" t="n"/>
      <c r="J159" s="39" t="n"/>
      <c r="K159" s="60">
        <f>IF(J159="","",SUMIFS(J$5:J159,D$5:D159,"Masuk")-SUMIFS(J$5:J159,D$5:D159,"Keluar"))</f>
        <v/>
      </c>
      <c r="L159" s="38" t="n"/>
      <c r="M159" s="38" t="n"/>
      <c r="N159" s="57">
        <f>IF(E159="","",IFERROR(IF(INDEX(Referensi!$B$5:$B$60,MATCH(E159,Referensi!$A$5:$A$60,0))=D159,"OK","Jenis tidak cocok"),"Kategori tidak dikenal"))</f>
        <v/>
      </c>
    </row>
    <row r="160" ht="15" customHeight="1" s="33">
      <c r="A160" s="57">
        <f>IF(B160="","",ROW()-4)</f>
        <v/>
      </c>
      <c r="B160" s="58" t="n"/>
      <c r="C160" s="38" t="n"/>
      <c r="D160" s="38" t="n"/>
      <c r="E160" s="38" t="n"/>
      <c r="F160" s="57">
        <f>IF(E160="","",IFERROR(INDEX(Referensi!$C$5:$C$60,MATCH(E160,Referensi!$A$5:$A$60,0)),"?"))</f>
        <v/>
      </c>
      <c r="G160" s="38" t="n"/>
      <c r="H160" s="59" t="n"/>
      <c r="I160" s="38" t="n"/>
      <c r="J160" s="39" t="n"/>
      <c r="K160" s="60">
        <f>IF(J160="","",SUMIFS(J$5:J160,D$5:D160,"Masuk")-SUMIFS(J$5:J160,D$5:D160,"Keluar"))</f>
        <v/>
      </c>
      <c r="L160" s="38" t="n"/>
      <c r="M160" s="38" t="n"/>
      <c r="N160" s="57">
        <f>IF(E160="","",IFERROR(IF(INDEX(Referensi!$B$5:$B$60,MATCH(E160,Referensi!$A$5:$A$60,0))=D160,"OK","Jenis tidak cocok"),"Kategori tidak dikenal"))</f>
        <v/>
      </c>
    </row>
    <row r="161" ht="15" customHeight="1" s="33">
      <c r="A161" s="57">
        <f>IF(B161="","",ROW()-4)</f>
        <v/>
      </c>
      <c r="B161" s="58" t="n"/>
      <c r="C161" s="38" t="n"/>
      <c r="D161" s="38" t="n"/>
      <c r="E161" s="38" t="n"/>
      <c r="F161" s="57">
        <f>IF(E161="","",IFERROR(INDEX(Referensi!$C$5:$C$60,MATCH(E161,Referensi!$A$5:$A$60,0)),"?"))</f>
        <v/>
      </c>
      <c r="G161" s="38" t="n"/>
      <c r="H161" s="59" t="n"/>
      <c r="I161" s="38" t="n"/>
      <c r="J161" s="39" t="n"/>
      <c r="K161" s="60">
        <f>IF(J161="","",SUMIFS(J$5:J161,D$5:D161,"Masuk")-SUMIFS(J$5:J161,D$5:D161,"Keluar"))</f>
        <v/>
      </c>
      <c r="L161" s="38" t="n"/>
      <c r="M161" s="38" t="n"/>
      <c r="N161" s="57">
        <f>IF(E161="","",IFERROR(IF(INDEX(Referensi!$B$5:$B$60,MATCH(E161,Referensi!$A$5:$A$60,0))=D161,"OK","Jenis tidak cocok"),"Kategori tidak dikenal"))</f>
        <v/>
      </c>
    </row>
    <row r="162" ht="15" customHeight="1" s="33">
      <c r="A162" s="57">
        <f>IF(B162="","",ROW()-4)</f>
        <v/>
      </c>
      <c r="B162" s="58" t="n"/>
      <c r="C162" s="38" t="n"/>
      <c r="D162" s="38" t="n"/>
      <c r="E162" s="38" t="n"/>
      <c r="F162" s="57">
        <f>IF(E162="","",IFERROR(INDEX(Referensi!$C$5:$C$60,MATCH(E162,Referensi!$A$5:$A$60,0)),"?"))</f>
        <v/>
      </c>
      <c r="G162" s="38" t="n"/>
      <c r="H162" s="59" t="n"/>
      <c r="I162" s="38" t="n"/>
      <c r="J162" s="39" t="n"/>
      <c r="K162" s="60">
        <f>IF(J162="","",SUMIFS(J$5:J162,D$5:D162,"Masuk")-SUMIFS(J$5:J162,D$5:D162,"Keluar"))</f>
        <v/>
      </c>
      <c r="L162" s="38" t="n"/>
      <c r="M162" s="38" t="n"/>
      <c r="N162" s="57">
        <f>IF(E162="","",IFERROR(IF(INDEX(Referensi!$B$5:$B$60,MATCH(E162,Referensi!$A$5:$A$60,0))=D162,"OK","Jenis tidak cocok"),"Kategori tidak dikenal"))</f>
        <v/>
      </c>
    </row>
    <row r="163" ht="15" customHeight="1" s="33">
      <c r="A163" s="57">
        <f>IF(B163="","",ROW()-4)</f>
        <v/>
      </c>
      <c r="B163" s="58" t="n"/>
      <c r="C163" s="38" t="n"/>
      <c r="D163" s="38" t="n"/>
      <c r="E163" s="38" t="n"/>
      <c r="F163" s="57">
        <f>IF(E163="","",IFERROR(INDEX(Referensi!$C$5:$C$60,MATCH(E163,Referensi!$A$5:$A$60,0)),"?"))</f>
        <v/>
      </c>
      <c r="G163" s="38" t="n"/>
      <c r="H163" s="59" t="n"/>
      <c r="I163" s="38" t="n"/>
      <c r="J163" s="39" t="n"/>
      <c r="K163" s="60">
        <f>IF(J163="","",SUMIFS(J$5:J163,D$5:D163,"Masuk")-SUMIFS(J$5:J163,D$5:D163,"Keluar"))</f>
        <v/>
      </c>
      <c r="L163" s="38" t="n"/>
      <c r="M163" s="38" t="n"/>
      <c r="N163" s="57">
        <f>IF(E163="","",IFERROR(IF(INDEX(Referensi!$B$5:$B$60,MATCH(E163,Referensi!$A$5:$A$60,0))=D163,"OK","Jenis tidak cocok"),"Kategori tidak dikenal"))</f>
        <v/>
      </c>
    </row>
    <row r="164" ht="15" customHeight="1" s="33">
      <c r="A164" s="57">
        <f>IF(B164="","",ROW()-4)</f>
        <v/>
      </c>
      <c r="B164" s="58" t="n"/>
      <c r="C164" s="38" t="n"/>
      <c r="D164" s="38" t="n"/>
      <c r="E164" s="38" t="n"/>
      <c r="F164" s="57">
        <f>IF(E164="","",IFERROR(INDEX(Referensi!$C$5:$C$60,MATCH(E164,Referensi!$A$5:$A$60,0)),"?"))</f>
        <v/>
      </c>
      <c r="G164" s="38" t="n"/>
      <c r="H164" s="59" t="n"/>
      <c r="I164" s="38" t="n"/>
      <c r="J164" s="39" t="n"/>
      <c r="K164" s="60">
        <f>IF(J164="","",SUMIFS(J$5:J164,D$5:D164,"Masuk")-SUMIFS(J$5:J164,D$5:D164,"Keluar"))</f>
        <v/>
      </c>
      <c r="L164" s="38" t="n"/>
      <c r="M164" s="38" t="n"/>
      <c r="N164" s="57">
        <f>IF(E164="","",IFERROR(IF(INDEX(Referensi!$B$5:$B$60,MATCH(E164,Referensi!$A$5:$A$60,0))=D164,"OK","Jenis tidak cocok"),"Kategori tidak dikenal"))</f>
        <v/>
      </c>
    </row>
    <row r="165" ht="15" customHeight="1" s="33">
      <c r="A165" s="57">
        <f>IF(B165="","",ROW()-4)</f>
        <v/>
      </c>
      <c r="B165" s="58" t="n"/>
      <c r="C165" s="38" t="n"/>
      <c r="D165" s="38" t="n"/>
      <c r="E165" s="38" t="n"/>
      <c r="F165" s="57">
        <f>IF(E165="","",IFERROR(INDEX(Referensi!$C$5:$C$60,MATCH(E165,Referensi!$A$5:$A$60,0)),"?"))</f>
        <v/>
      </c>
      <c r="G165" s="38" t="n"/>
      <c r="H165" s="59" t="n"/>
      <c r="I165" s="38" t="n"/>
      <c r="J165" s="39" t="n"/>
      <c r="K165" s="60">
        <f>IF(J165="","",SUMIFS(J$5:J165,D$5:D165,"Masuk")-SUMIFS(J$5:J165,D$5:D165,"Keluar"))</f>
        <v/>
      </c>
      <c r="L165" s="38" t="n"/>
      <c r="M165" s="38" t="n"/>
      <c r="N165" s="57">
        <f>IF(E165="","",IFERROR(IF(INDEX(Referensi!$B$5:$B$60,MATCH(E165,Referensi!$A$5:$A$60,0))=D165,"OK","Jenis tidak cocok"),"Kategori tidak dikenal"))</f>
        <v/>
      </c>
    </row>
    <row r="166" ht="15" customHeight="1" s="33">
      <c r="A166" s="57">
        <f>IF(B166="","",ROW()-4)</f>
        <v/>
      </c>
      <c r="B166" s="58" t="n"/>
      <c r="C166" s="38" t="n"/>
      <c r="D166" s="38" t="n"/>
      <c r="E166" s="38" t="n"/>
      <c r="F166" s="57">
        <f>IF(E166="","",IFERROR(INDEX(Referensi!$C$5:$C$60,MATCH(E166,Referensi!$A$5:$A$60,0)),"?"))</f>
        <v/>
      </c>
      <c r="G166" s="38" t="n"/>
      <c r="H166" s="59" t="n"/>
      <c r="I166" s="38" t="n"/>
      <c r="J166" s="39" t="n"/>
      <c r="K166" s="60">
        <f>IF(J166="","",SUMIFS(J$5:J166,D$5:D166,"Masuk")-SUMIFS(J$5:J166,D$5:D166,"Keluar"))</f>
        <v/>
      </c>
      <c r="L166" s="38" t="n"/>
      <c r="M166" s="38" t="n"/>
      <c r="N166" s="57">
        <f>IF(E166="","",IFERROR(IF(INDEX(Referensi!$B$5:$B$60,MATCH(E166,Referensi!$A$5:$A$60,0))=D166,"OK","Jenis tidak cocok"),"Kategori tidak dikenal"))</f>
        <v/>
      </c>
    </row>
    <row r="167" ht="15" customHeight="1" s="33">
      <c r="A167" s="57">
        <f>IF(B167="","",ROW()-4)</f>
        <v/>
      </c>
      <c r="B167" s="58" t="n"/>
      <c r="C167" s="38" t="n"/>
      <c r="D167" s="38" t="n"/>
      <c r="E167" s="38" t="n"/>
      <c r="F167" s="57">
        <f>IF(E167="","",IFERROR(INDEX(Referensi!$C$5:$C$60,MATCH(E167,Referensi!$A$5:$A$60,0)),"?"))</f>
        <v/>
      </c>
      <c r="G167" s="38" t="n"/>
      <c r="H167" s="59" t="n"/>
      <c r="I167" s="38" t="n"/>
      <c r="J167" s="39" t="n"/>
      <c r="K167" s="60">
        <f>IF(J167="","",SUMIFS(J$5:J167,D$5:D167,"Masuk")-SUMIFS(J$5:J167,D$5:D167,"Keluar"))</f>
        <v/>
      </c>
      <c r="L167" s="38" t="n"/>
      <c r="M167" s="38" t="n"/>
      <c r="N167" s="57">
        <f>IF(E167="","",IFERROR(IF(INDEX(Referensi!$B$5:$B$60,MATCH(E167,Referensi!$A$5:$A$60,0))=D167,"OK","Jenis tidak cocok"),"Kategori tidak dikenal"))</f>
        <v/>
      </c>
    </row>
    <row r="168" ht="15" customHeight="1" s="33">
      <c r="A168" s="57">
        <f>IF(B168="","",ROW()-4)</f>
        <v/>
      </c>
      <c r="B168" s="58" t="n"/>
      <c r="C168" s="38" t="n"/>
      <c r="D168" s="38" t="n"/>
      <c r="E168" s="38" t="n"/>
      <c r="F168" s="57">
        <f>IF(E168="","",IFERROR(INDEX(Referensi!$C$5:$C$60,MATCH(E168,Referensi!$A$5:$A$60,0)),"?"))</f>
        <v/>
      </c>
      <c r="G168" s="38" t="n"/>
      <c r="H168" s="59" t="n"/>
      <c r="I168" s="38" t="n"/>
      <c r="J168" s="39" t="n"/>
      <c r="K168" s="60">
        <f>IF(J168="","",SUMIFS(J$5:J168,D$5:D168,"Masuk")-SUMIFS(J$5:J168,D$5:D168,"Keluar"))</f>
        <v/>
      </c>
      <c r="L168" s="38" t="n"/>
      <c r="M168" s="38" t="n"/>
      <c r="N168" s="57">
        <f>IF(E168="","",IFERROR(IF(INDEX(Referensi!$B$5:$B$60,MATCH(E168,Referensi!$A$5:$A$60,0))=D168,"OK","Jenis tidak cocok"),"Kategori tidak dikenal"))</f>
        <v/>
      </c>
    </row>
    <row r="169" ht="15" customHeight="1" s="33">
      <c r="A169" s="57">
        <f>IF(B169="","",ROW()-4)</f>
        <v/>
      </c>
      <c r="B169" s="58" t="n"/>
      <c r="C169" s="38" t="n"/>
      <c r="D169" s="38" t="n"/>
      <c r="E169" s="38" t="n"/>
      <c r="F169" s="57">
        <f>IF(E169="","",IFERROR(INDEX(Referensi!$C$5:$C$60,MATCH(E169,Referensi!$A$5:$A$60,0)),"?"))</f>
        <v/>
      </c>
      <c r="G169" s="38" t="n"/>
      <c r="H169" s="59" t="n"/>
      <c r="I169" s="38" t="n"/>
      <c r="J169" s="39" t="n"/>
      <c r="K169" s="60">
        <f>IF(J169="","",SUMIFS(J$5:J169,D$5:D169,"Masuk")-SUMIFS(J$5:J169,D$5:D169,"Keluar"))</f>
        <v/>
      </c>
      <c r="L169" s="38" t="n"/>
      <c r="M169" s="38" t="n"/>
      <c r="N169" s="57">
        <f>IF(E169="","",IFERROR(IF(INDEX(Referensi!$B$5:$B$60,MATCH(E169,Referensi!$A$5:$A$60,0))=D169,"OK","Jenis tidak cocok"),"Kategori tidak dikenal"))</f>
        <v/>
      </c>
    </row>
    <row r="170" ht="15" customHeight="1" s="33">
      <c r="A170" s="57">
        <f>IF(B170="","",ROW()-4)</f>
        <v/>
      </c>
      <c r="B170" s="58" t="n"/>
      <c r="C170" s="38" t="n"/>
      <c r="D170" s="38" t="n"/>
      <c r="E170" s="38" t="n"/>
      <c r="F170" s="57">
        <f>IF(E170="","",IFERROR(INDEX(Referensi!$C$5:$C$60,MATCH(E170,Referensi!$A$5:$A$60,0)),"?"))</f>
        <v/>
      </c>
      <c r="G170" s="38" t="n"/>
      <c r="H170" s="59" t="n"/>
      <c r="I170" s="38" t="n"/>
      <c r="J170" s="39" t="n"/>
      <c r="K170" s="60">
        <f>IF(J170="","",SUMIFS(J$5:J170,D$5:D170,"Masuk")-SUMIFS(J$5:J170,D$5:D170,"Keluar"))</f>
        <v/>
      </c>
      <c r="L170" s="38" t="n"/>
      <c r="M170" s="38" t="n"/>
      <c r="N170" s="57">
        <f>IF(E170="","",IFERROR(IF(INDEX(Referensi!$B$5:$B$60,MATCH(E170,Referensi!$A$5:$A$60,0))=D170,"OK","Jenis tidak cocok"),"Kategori tidak dikenal"))</f>
        <v/>
      </c>
    </row>
    <row r="171" ht="15" customHeight="1" s="33">
      <c r="A171" s="57">
        <f>IF(B171="","",ROW()-4)</f>
        <v/>
      </c>
      <c r="B171" s="58" t="n"/>
      <c r="C171" s="38" t="n"/>
      <c r="D171" s="38" t="n"/>
      <c r="E171" s="38" t="n"/>
      <c r="F171" s="57">
        <f>IF(E171="","",IFERROR(INDEX(Referensi!$C$5:$C$60,MATCH(E171,Referensi!$A$5:$A$60,0)),"?"))</f>
        <v/>
      </c>
      <c r="G171" s="38" t="n"/>
      <c r="H171" s="59" t="n"/>
      <c r="I171" s="38" t="n"/>
      <c r="J171" s="39" t="n"/>
      <c r="K171" s="60">
        <f>IF(J171="","",SUMIFS(J$5:J171,D$5:D171,"Masuk")-SUMIFS(J$5:J171,D$5:D171,"Keluar"))</f>
        <v/>
      </c>
      <c r="L171" s="38" t="n"/>
      <c r="M171" s="38" t="n"/>
      <c r="N171" s="57">
        <f>IF(E171="","",IFERROR(IF(INDEX(Referensi!$B$5:$B$60,MATCH(E171,Referensi!$A$5:$A$60,0))=D171,"OK","Jenis tidak cocok"),"Kategori tidak dikenal"))</f>
        <v/>
      </c>
    </row>
    <row r="172" ht="15" customHeight="1" s="33">
      <c r="A172" s="57">
        <f>IF(B172="","",ROW()-4)</f>
        <v/>
      </c>
      <c r="B172" s="58" t="n"/>
      <c r="C172" s="38" t="n"/>
      <c r="D172" s="38" t="n"/>
      <c r="E172" s="38" t="n"/>
      <c r="F172" s="57">
        <f>IF(E172="","",IFERROR(INDEX(Referensi!$C$5:$C$60,MATCH(E172,Referensi!$A$5:$A$60,0)),"?"))</f>
        <v/>
      </c>
      <c r="G172" s="38" t="n"/>
      <c r="H172" s="59" t="n"/>
      <c r="I172" s="38" t="n"/>
      <c r="J172" s="39" t="n"/>
      <c r="K172" s="60">
        <f>IF(J172="","",SUMIFS(J$5:J172,D$5:D172,"Masuk")-SUMIFS(J$5:J172,D$5:D172,"Keluar"))</f>
        <v/>
      </c>
      <c r="L172" s="38" t="n"/>
      <c r="M172" s="38" t="n"/>
      <c r="N172" s="57">
        <f>IF(E172="","",IFERROR(IF(INDEX(Referensi!$B$5:$B$60,MATCH(E172,Referensi!$A$5:$A$60,0))=D172,"OK","Jenis tidak cocok"),"Kategori tidak dikenal"))</f>
        <v/>
      </c>
    </row>
    <row r="173" ht="15" customHeight="1" s="33">
      <c r="A173" s="57">
        <f>IF(B173="","",ROW()-4)</f>
        <v/>
      </c>
      <c r="B173" s="58" t="n"/>
      <c r="C173" s="38" t="n"/>
      <c r="D173" s="38" t="n"/>
      <c r="E173" s="38" t="n"/>
      <c r="F173" s="57">
        <f>IF(E173="","",IFERROR(INDEX(Referensi!$C$5:$C$60,MATCH(E173,Referensi!$A$5:$A$60,0)),"?"))</f>
        <v/>
      </c>
      <c r="G173" s="38" t="n"/>
      <c r="H173" s="59" t="n"/>
      <c r="I173" s="38" t="n"/>
      <c r="J173" s="39" t="n"/>
      <c r="K173" s="60">
        <f>IF(J173="","",SUMIFS(J$5:J173,D$5:D173,"Masuk")-SUMIFS(J$5:J173,D$5:D173,"Keluar"))</f>
        <v/>
      </c>
      <c r="L173" s="38" t="n"/>
      <c r="M173" s="38" t="n"/>
      <c r="N173" s="57">
        <f>IF(E173="","",IFERROR(IF(INDEX(Referensi!$B$5:$B$60,MATCH(E173,Referensi!$A$5:$A$60,0))=D173,"OK","Jenis tidak cocok"),"Kategori tidak dikenal"))</f>
        <v/>
      </c>
    </row>
    <row r="174" ht="15" customHeight="1" s="33">
      <c r="A174" s="57">
        <f>IF(B174="","",ROW()-4)</f>
        <v/>
      </c>
      <c r="B174" s="58" t="n"/>
      <c r="C174" s="38" t="n"/>
      <c r="D174" s="38" t="n"/>
      <c r="E174" s="38" t="n"/>
      <c r="F174" s="57">
        <f>IF(E174="","",IFERROR(INDEX(Referensi!$C$5:$C$60,MATCH(E174,Referensi!$A$5:$A$60,0)),"?"))</f>
        <v/>
      </c>
      <c r="G174" s="38" t="n"/>
      <c r="H174" s="59" t="n"/>
      <c r="I174" s="38" t="n"/>
      <c r="J174" s="39" t="n"/>
      <c r="K174" s="60">
        <f>IF(J174="","",SUMIFS(J$5:J174,D$5:D174,"Masuk")-SUMIFS(J$5:J174,D$5:D174,"Keluar"))</f>
        <v/>
      </c>
      <c r="L174" s="38" t="n"/>
      <c r="M174" s="38" t="n"/>
      <c r="N174" s="57">
        <f>IF(E174="","",IFERROR(IF(INDEX(Referensi!$B$5:$B$60,MATCH(E174,Referensi!$A$5:$A$60,0))=D174,"OK","Jenis tidak cocok"),"Kategori tidak dikenal"))</f>
        <v/>
      </c>
    </row>
    <row r="175" ht="15" customHeight="1" s="33">
      <c r="A175" s="57">
        <f>IF(B175="","",ROW()-4)</f>
        <v/>
      </c>
      <c r="B175" s="58" t="n"/>
      <c r="C175" s="38" t="n"/>
      <c r="D175" s="38" t="n"/>
      <c r="E175" s="38" t="n"/>
      <c r="F175" s="57">
        <f>IF(E175="","",IFERROR(INDEX(Referensi!$C$5:$C$60,MATCH(E175,Referensi!$A$5:$A$60,0)),"?"))</f>
        <v/>
      </c>
      <c r="G175" s="38" t="n"/>
      <c r="H175" s="59" t="n"/>
      <c r="I175" s="38" t="n"/>
      <c r="J175" s="39" t="n"/>
      <c r="K175" s="60">
        <f>IF(J175="","",SUMIFS(J$5:J175,D$5:D175,"Masuk")-SUMIFS(J$5:J175,D$5:D175,"Keluar"))</f>
        <v/>
      </c>
      <c r="L175" s="38" t="n"/>
      <c r="M175" s="38" t="n"/>
      <c r="N175" s="57">
        <f>IF(E175="","",IFERROR(IF(INDEX(Referensi!$B$5:$B$60,MATCH(E175,Referensi!$A$5:$A$60,0))=D175,"OK","Jenis tidak cocok"),"Kategori tidak dikenal"))</f>
        <v/>
      </c>
    </row>
    <row r="176" ht="15" customHeight="1" s="33">
      <c r="A176" s="57">
        <f>IF(B176="","",ROW()-4)</f>
        <v/>
      </c>
      <c r="B176" s="58" t="n"/>
      <c r="C176" s="38" t="n"/>
      <c r="D176" s="38" t="n"/>
      <c r="E176" s="38" t="n"/>
      <c r="F176" s="57">
        <f>IF(E176="","",IFERROR(INDEX(Referensi!$C$5:$C$60,MATCH(E176,Referensi!$A$5:$A$60,0)),"?"))</f>
        <v/>
      </c>
      <c r="G176" s="38" t="n"/>
      <c r="H176" s="59" t="n"/>
      <c r="I176" s="38" t="n"/>
      <c r="J176" s="39" t="n"/>
      <c r="K176" s="60">
        <f>IF(J176="","",SUMIFS(J$5:J176,D$5:D176,"Masuk")-SUMIFS(J$5:J176,D$5:D176,"Keluar"))</f>
        <v/>
      </c>
      <c r="L176" s="38" t="n"/>
      <c r="M176" s="38" t="n"/>
      <c r="N176" s="57">
        <f>IF(E176="","",IFERROR(IF(INDEX(Referensi!$B$5:$B$60,MATCH(E176,Referensi!$A$5:$A$60,0))=D176,"OK","Jenis tidak cocok"),"Kategori tidak dikenal"))</f>
        <v/>
      </c>
    </row>
    <row r="177" ht="15" customHeight="1" s="33">
      <c r="A177" s="57">
        <f>IF(B177="","",ROW()-4)</f>
        <v/>
      </c>
      <c r="B177" s="58" t="n"/>
      <c r="C177" s="38" t="n"/>
      <c r="D177" s="38" t="n"/>
      <c r="E177" s="38" t="n"/>
      <c r="F177" s="57">
        <f>IF(E177="","",IFERROR(INDEX(Referensi!$C$5:$C$60,MATCH(E177,Referensi!$A$5:$A$60,0)),"?"))</f>
        <v/>
      </c>
      <c r="G177" s="38" t="n"/>
      <c r="H177" s="59" t="n"/>
      <c r="I177" s="38" t="n"/>
      <c r="J177" s="39" t="n"/>
      <c r="K177" s="60">
        <f>IF(J177="","",SUMIFS(J$5:J177,D$5:D177,"Masuk")-SUMIFS(J$5:J177,D$5:D177,"Keluar"))</f>
        <v/>
      </c>
      <c r="L177" s="38" t="n"/>
      <c r="M177" s="38" t="n"/>
      <c r="N177" s="57">
        <f>IF(E177="","",IFERROR(IF(INDEX(Referensi!$B$5:$B$60,MATCH(E177,Referensi!$A$5:$A$60,0))=D177,"OK","Jenis tidak cocok"),"Kategori tidak dikenal"))</f>
        <v/>
      </c>
    </row>
    <row r="178" ht="15" customHeight="1" s="33">
      <c r="A178" s="57">
        <f>IF(B178="","",ROW()-4)</f>
        <v/>
      </c>
      <c r="B178" s="58" t="n"/>
      <c r="C178" s="38" t="n"/>
      <c r="D178" s="38" t="n"/>
      <c r="E178" s="38" t="n"/>
      <c r="F178" s="57">
        <f>IF(E178="","",IFERROR(INDEX(Referensi!$C$5:$C$60,MATCH(E178,Referensi!$A$5:$A$60,0)),"?"))</f>
        <v/>
      </c>
      <c r="G178" s="38" t="n"/>
      <c r="H178" s="59" t="n"/>
      <c r="I178" s="38" t="n"/>
      <c r="J178" s="39" t="n"/>
      <c r="K178" s="60">
        <f>IF(J178="","",SUMIFS(J$5:J178,D$5:D178,"Masuk")-SUMIFS(J$5:J178,D$5:D178,"Keluar"))</f>
        <v/>
      </c>
      <c r="L178" s="38" t="n"/>
      <c r="M178" s="38" t="n"/>
      <c r="N178" s="57">
        <f>IF(E178="","",IFERROR(IF(INDEX(Referensi!$B$5:$B$60,MATCH(E178,Referensi!$A$5:$A$60,0))=D178,"OK","Jenis tidak cocok"),"Kategori tidak dikenal"))</f>
        <v/>
      </c>
    </row>
    <row r="179" ht="15" customHeight="1" s="33">
      <c r="A179" s="57">
        <f>IF(B179="","",ROW()-4)</f>
        <v/>
      </c>
      <c r="B179" s="58" t="n"/>
      <c r="C179" s="38" t="n"/>
      <c r="D179" s="38" t="n"/>
      <c r="E179" s="38" t="n"/>
      <c r="F179" s="57">
        <f>IF(E179="","",IFERROR(INDEX(Referensi!$C$5:$C$60,MATCH(E179,Referensi!$A$5:$A$60,0)),"?"))</f>
        <v/>
      </c>
      <c r="G179" s="38" t="n"/>
      <c r="H179" s="59" t="n"/>
      <c r="I179" s="38" t="n"/>
      <c r="J179" s="39" t="n"/>
      <c r="K179" s="60">
        <f>IF(J179="","",SUMIFS(J$5:J179,D$5:D179,"Masuk")-SUMIFS(J$5:J179,D$5:D179,"Keluar"))</f>
        <v/>
      </c>
      <c r="L179" s="38" t="n"/>
      <c r="M179" s="38" t="n"/>
      <c r="N179" s="57">
        <f>IF(E179="","",IFERROR(IF(INDEX(Referensi!$B$5:$B$60,MATCH(E179,Referensi!$A$5:$A$60,0))=D179,"OK","Jenis tidak cocok"),"Kategori tidak dikenal"))</f>
        <v/>
      </c>
    </row>
    <row r="180" ht="15" customHeight="1" s="33">
      <c r="A180" s="57">
        <f>IF(B180="","",ROW()-4)</f>
        <v/>
      </c>
      <c r="B180" s="58" t="n"/>
      <c r="C180" s="38" t="n"/>
      <c r="D180" s="38" t="n"/>
      <c r="E180" s="38" t="n"/>
      <c r="F180" s="57">
        <f>IF(E180="","",IFERROR(INDEX(Referensi!$C$5:$C$60,MATCH(E180,Referensi!$A$5:$A$60,0)),"?"))</f>
        <v/>
      </c>
      <c r="G180" s="38" t="n"/>
      <c r="H180" s="59" t="n"/>
      <c r="I180" s="38" t="n"/>
      <c r="J180" s="39" t="n"/>
      <c r="K180" s="60">
        <f>IF(J180="","",SUMIFS(J$5:J180,D$5:D180,"Masuk")-SUMIFS(J$5:J180,D$5:D180,"Keluar"))</f>
        <v/>
      </c>
      <c r="L180" s="38" t="n"/>
      <c r="M180" s="38" t="n"/>
      <c r="N180" s="57">
        <f>IF(E180="","",IFERROR(IF(INDEX(Referensi!$B$5:$B$60,MATCH(E180,Referensi!$A$5:$A$60,0))=D180,"OK","Jenis tidak cocok"),"Kategori tidak dikenal"))</f>
        <v/>
      </c>
    </row>
    <row r="181" ht="15" customHeight="1" s="33">
      <c r="A181" s="57">
        <f>IF(B181="","",ROW()-4)</f>
        <v/>
      </c>
      <c r="B181" s="58" t="n"/>
      <c r="C181" s="38" t="n"/>
      <c r="D181" s="38" t="n"/>
      <c r="E181" s="38" t="n"/>
      <c r="F181" s="57">
        <f>IF(E181="","",IFERROR(INDEX(Referensi!$C$5:$C$60,MATCH(E181,Referensi!$A$5:$A$60,0)),"?"))</f>
        <v/>
      </c>
      <c r="G181" s="38" t="n"/>
      <c r="H181" s="59" t="n"/>
      <c r="I181" s="38" t="n"/>
      <c r="J181" s="39" t="n"/>
      <c r="K181" s="60">
        <f>IF(J181="","",SUMIFS(J$5:J181,D$5:D181,"Masuk")-SUMIFS(J$5:J181,D$5:D181,"Keluar"))</f>
        <v/>
      </c>
      <c r="L181" s="38" t="n"/>
      <c r="M181" s="38" t="n"/>
      <c r="N181" s="57">
        <f>IF(E181="","",IFERROR(IF(INDEX(Referensi!$B$5:$B$60,MATCH(E181,Referensi!$A$5:$A$60,0))=D181,"OK","Jenis tidak cocok"),"Kategori tidak dikenal"))</f>
        <v/>
      </c>
    </row>
    <row r="182" ht="15" customHeight="1" s="33">
      <c r="A182" s="57">
        <f>IF(B182="","",ROW()-4)</f>
        <v/>
      </c>
      <c r="B182" s="58" t="n"/>
      <c r="C182" s="38" t="n"/>
      <c r="D182" s="38" t="n"/>
      <c r="E182" s="38" t="n"/>
      <c r="F182" s="57">
        <f>IF(E182="","",IFERROR(INDEX(Referensi!$C$5:$C$60,MATCH(E182,Referensi!$A$5:$A$60,0)),"?"))</f>
        <v/>
      </c>
      <c r="G182" s="38" t="n"/>
      <c r="H182" s="59" t="n"/>
      <c r="I182" s="38" t="n"/>
      <c r="J182" s="39" t="n"/>
      <c r="K182" s="60">
        <f>IF(J182="","",SUMIFS(J$5:J182,D$5:D182,"Masuk")-SUMIFS(J$5:J182,D$5:D182,"Keluar"))</f>
        <v/>
      </c>
      <c r="L182" s="38" t="n"/>
      <c r="M182" s="38" t="n"/>
      <c r="N182" s="57">
        <f>IF(E182="","",IFERROR(IF(INDEX(Referensi!$B$5:$B$60,MATCH(E182,Referensi!$A$5:$A$60,0))=D182,"OK","Jenis tidak cocok"),"Kategori tidak dikenal"))</f>
        <v/>
      </c>
    </row>
    <row r="183" ht="15" customHeight="1" s="33">
      <c r="A183" s="57">
        <f>IF(B183="","",ROW()-4)</f>
        <v/>
      </c>
      <c r="B183" s="58" t="n"/>
      <c r="C183" s="38" t="n"/>
      <c r="D183" s="38" t="n"/>
      <c r="E183" s="38" t="n"/>
      <c r="F183" s="57">
        <f>IF(E183="","",IFERROR(INDEX(Referensi!$C$5:$C$60,MATCH(E183,Referensi!$A$5:$A$60,0)),"?"))</f>
        <v/>
      </c>
      <c r="G183" s="38" t="n"/>
      <c r="H183" s="59" t="n"/>
      <c r="I183" s="38" t="n"/>
      <c r="J183" s="39" t="n"/>
      <c r="K183" s="60">
        <f>IF(J183="","",SUMIFS(J$5:J183,D$5:D183,"Masuk")-SUMIFS(J$5:J183,D$5:D183,"Keluar"))</f>
        <v/>
      </c>
      <c r="L183" s="38" t="n"/>
      <c r="M183" s="38" t="n"/>
      <c r="N183" s="57">
        <f>IF(E183="","",IFERROR(IF(INDEX(Referensi!$B$5:$B$60,MATCH(E183,Referensi!$A$5:$A$60,0))=D183,"OK","Jenis tidak cocok"),"Kategori tidak dikenal"))</f>
        <v/>
      </c>
    </row>
    <row r="184" ht="15" customHeight="1" s="33">
      <c r="A184" s="57">
        <f>IF(B184="","",ROW()-4)</f>
        <v/>
      </c>
      <c r="B184" s="58" t="n"/>
      <c r="C184" s="38" t="n"/>
      <c r="D184" s="38" t="n"/>
      <c r="E184" s="38" t="n"/>
      <c r="F184" s="57">
        <f>IF(E184="","",IFERROR(INDEX(Referensi!$C$5:$C$60,MATCH(E184,Referensi!$A$5:$A$60,0)),"?"))</f>
        <v/>
      </c>
      <c r="G184" s="38" t="n"/>
      <c r="H184" s="59" t="n"/>
      <c r="I184" s="38" t="n"/>
      <c r="J184" s="39" t="n"/>
      <c r="K184" s="60">
        <f>IF(J184="","",SUMIFS(J$5:J184,D$5:D184,"Masuk")-SUMIFS(J$5:J184,D$5:D184,"Keluar"))</f>
        <v/>
      </c>
      <c r="L184" s="38" t="n"/>
      <c r="M184" s="38" t="n"/>
      <c r="N184" s="57">
        <f>IF(E184="","",IFERROR(IF(INDEX(Referensi!$B$5:$B$60,MATCH(E184,Referensi!$A$5:$A$60,0))=D184,"OK","Jenis tidak cocok"),"Kategori tidak dikenal"))</f>
        <v/>
      </c>
    </row>
    <row r="185" ht="15" customHeight="1" s="33">
      <c r="A185" s="57">
        <f>IF(B185="","",ROW()-4)</f>
        <v/>
      </c>
      <c r="B185" s="58" t="n"/>
      <c r="C185" s="38" t="n"/>
      <c r="D185" s="38" t="n"/>
      <c r="E185" s="38" t="n"/>
      <c r="F185" s="57">
        <f>IF(E185="","",IFERROR(INDEX(Referensi!$C$5:$C$60,MATCH(E185,Referensi!$A$5:$A$60,0)),"?"))</f>
        <v/>
      </c>
      <c r="G185" s="38" t="n"/>
      <c r="H185" s="59" t="n"/>
      <c r="I185" s="38" t="n"/>
      <c r="J185" s="39" t="n"/>
      <c r="K185" s="60">
        <f>IF(J185="","",SUMIFS(J$5:J185,D$5:D185,"Masuk")-SUMIFS(J$5:J185,D$5:D185,"Keluar"))</f>
        <v/>
      </c>
      <c r="L185" s="38" t="n"/>
      <c r="M185" s="38" t="n"/>
      <c r="N185" s="57">
        <f>IF(E185="","",IFERROR(IF(INDEX(Referensi!$B$5:$B$60,MATCH(E185,Referensi!$A$5:$A$60,0))=D185,"OK","Jenis tidak cocok"),"Kategori tidak dikenal"))</f>
        <v/>
      </c>
    </row>
    <row r="186" ht="15" customHeight="1" s="33">
      <c r="A186" s="57">
        <f>IF(B186="","",ROW()-4)</f>
        <v/>
      </c>
      <c r="B186" s="58" t="n"/>
      <c r="C186" s="38" t="n"/>
      <c r="D186" s="38" t="n"/>
      <c r="E186" s="38" t="n"/>
      <c r="F186" s="57">
        <f>IF(E186="","",IFERROR(INDEX(Referensi!$C$5:$C$60,MATCH(E186,Referensi!$A$5:$A$60,0)),"?"))</f>
        <v/>
      </c>
      <c r="G186" s="38" t="n"/>
      <c r="H186" s="59" t="n"/>
      <c r="I186" s="38" t="n"/>
      <c r="J186" s="39" t="n"/>
      <c r="K186" s="60">
        <f>IF(J186="","",SUMIFS(J$5:J186,D$5:D186,"Masuk")-SUMIFS(J$5:J186,D$5:D186,"Keluar"))</f>
        <v/>
      </c>
      <c r="L186" s="38" t="n"/>
      <c r="M186" s="38" t="n"/>
      <c r="N186" s="57">
        <f>IF(E186="","",IFERROR(IF(INDEX(Referensi!$B$5:$B$60,MATCH(E186,Referensi!$A$5:$A$60,0))=D186,"OK","Jenis tidak cocok"),"Kategori tidak dikenal"))</f>
        <v/>
      </c>
    </row>
    <row r="187" ht="15" customHeight="1" s="33">
      <c r="A187" s="57">
        <f>IF(B187="","",ROW()-4)</f>
        <v/>
      </c>
      <c r="B187" s="58" t="n"/>
      <c r="C187" s="38" t="n"/>
      <c r="D187" s="38" t="n"/>
      <c r="E187" s="38" t="n"/>
      <c r="F187" s="57">
        <f>IF(E187="","",IFERROR(INDEX(Referensi!$C$5:$C$60,MATCH(E187,Referensi!$A$5:$A$60,0)),"?"))</f>
        <v/>
      </c>
      <c r="G187" s="38" t="n"/>
      <c r="H187" s="59" t="n"/>
      <c r="I187" s="38" t="n"/>
      <c r="J187" s="39" t="n"/>
      <c r="K187" s="60">
        <f>IF(J187="","",SUMIFS(J$5:J187,D$5:D187,"Masuk")-SUMIFS(J$5:J187,D$5:D187,"Keluar"))</f>
        <v/>
      </c>
      <c r="L187" s="38" t="n"/>
      <c r="M187" s="38" t="n"/>
      <c r="N187" s="57">
        <f>IF(E187="","",IFERROR(IF(INDEX(Referensi!$B$5:$B$60,MATCH(E187,Referensi!$A$5:$A$60,0))=D187,"OK","Jenis tidak cocok"),"Kategori tidak dikenal"))</f>
        <v/>
      </c>
    </row>
    <row r="188" ht="15" customHeight="1" s="33">
      <c r="A188" s="57">
        <f>IF(B188="","",ROW()-4)</f>
        <v/>
      </c>
      <c r="B188" s="58" t="n"/>
      <c r="C188" s="38" t="n"/>
      <c r="D188" s="38" t="n"/>
      <c r="E188" s="38" t="n"/>
      <c r="F188" s="57">
        <f>IF(E188="","",IFERROR(INDEX(Referensi!$C$5:$C$60,MATCH(E188,Referensi!$A$5:$A$60,0)),"?"))</f>
        <v/>
      </c>
      <c r="G188" s="38" t="n"/>
      <c r="H188" s="59" t="n"/>
      <c r="I188" s="38" t="n"/>
      <c r="J188" s="39" t="n"/>
      <c r="K188" s="60">
        <f>IF(J188="","",SUMIFS(J$5:J188,D$5:D188,"Masuk")-SUMIFS(J$5:J188,D$5:D188,"Keluar"))</f>
        <v/>
      </c>
      <c r="L188" s="38" t="n"/>
      <c r="M188" s="38" t="n"/>
      <c r="N188" s="57">
        <f>IF(E188="","",IFERROR(IF(INDEX(Referensi!$B$5:$B$60,MATCH(E188,Referensi!$A$5:$A$60,0))=D188,"OK","Jenis tidak cocok"),"Kategori tidak dikenal"))</f>
        <v/>
      </c>
    </row>
    <row r="189" ht="15" customHeight="1" s="33">
      <c r="A189" s="57">
        <f>IF(B189="","",ROW()-4)</f>
        <v/>
      </c>
      <c r="B189" s="58" t="n"/>
      <c r="C189" s="38" t="n"/>
      <c r="D189" s="38" t="n"/>
      <c r="E189" s="38" t="n"/>
      <c r="F189" s="57">
        <f>IF(E189="","",IFERROR(INDEX(Referensi!$C$5:$C$60,MATCH(E189,Referensi!$A$5:$A$60,0)),"?"))</f>
        <v/>
      </c>
      <c r="G189" s="38" t="n"/>
      <c r="H189" s="59" t="n"/>
      <c r="I189" s="38" t="n"/>
      <c r="J189" s="39" t="n"/>
      <c r="K189" s="60">
        <f>IF(J189="","",SUMIFS(J$5:J189,D$5:D189,"Masuk")-SUMIFS(J$5:J189,D$5:D189,"Keluar"))</f>
        <v/>
      </c>
      <c r="L189" s="38" t="n"/>
      <c r="M189" s="38" t="n"/>
      <c r="N189" s="57">
        <f>IF(E189="","",IFERROR(IF(INDEX(Referensi!$B$5:$B$60,MATCH(E189,Referensi!$A$5:$A$60,0))=D189,"OK","Jenis tidak cocok"),"Kategori tidak dikenal"))</f>
        <v/>
      </c>
    </row>
    <row r="190" ht="15" customHeight="1" s="33">
      <c r="A190" s="57">
        <f>IF(B190="","",ROW()-4)</f>
        <v/>
      </c>
      <c r="B190" s="58" t="n"/>
      <c r="C190" s="38" t="n"/>
      <c r="D190" s="38" t="n"/>
      <c r="E190" s="38" t="n"/>
      <c r="F190" s="57">
        <f>IF(E190="","",IFERROR(INDEX(Referensi!$C$5:$C$60,MATCH(E190,Referensi!$A$5:$A$60,0)),"?"))</f>
        <v/>
      </c>
      <c r="G190" s="38" t="n"/>
      <c r="H190" s="59" t="n"/>
      <c r="I190" s="38" t="n"/>
      <c r="J190" s="39" t="n"/>
      <c r="K190" s="60">
        <f>IF(J190="","",SUMIFS(J$5:J190,D$5:D190,"Masuk")-SUMIFS(J$5:J190,D$5:D190,"Keluar"))</f>
        <v/>
      </c>
      <c r="L190" s="38" t="n"/>
      <c r="M190" s="38" t="n"/>
      <c r="N190" s="57">
        <f>IF(E190="","",IFERROR(IF(INDEX(Referensi!$B$5:$B$60,MATCH(E190,Referensi!$A$5:$A$60,0))=D190,"OK","Jenis tidak cocok"),"Kategori tidak dikenal"))</f>
        <v/>
      </c>
    </row>
    <row r="191" ht="15" customHeight="1" s="33">
      <c r="A191" s="57">
        <f>IF(B191="","",ROW()-4)</f>
        <v/>
      </c>
      <c r="B191" s="58" t="n"/>
      <c r="C191" s="38" t="n"/>
      <c r="D191" s="38" t="n"/>
      <c r="E191" s="38" t="n"/>
      <c r="F191" s="57">
        <f>IF(E191="","",IFERROR(INDEX(Referensi!$C$5:$C$60,MATCH(E191,Referensi!$A$5:$A$60,0)),"?"))</f>
        <v/>
      </c>
      <c r="G191" s="38" t="n"/>
      <c r="H191" s="59" t="n"/>
      <c r="I191" s="38" t="n"/>
      <c r="J191" s="39" t="n"/>
      <c r="K191" s="60">
        <f>IF(J191="","",SUMIFS(J$5:J191,D$5:D191,"Masuk")-SUMIFS(J$5:J191,D$5:D191,"Keluar"))</f>
        <v/>
      </c>
      <c r="L191" s="38" t="n"/>
      <c r="M191" s="38" t="n"/>
      <c r="N191" s="57">
        <f>IF(E191="","",IFERROR(IF(INDEX(Referensi!$B$5:$B$60,MATCH(E191,Referensi!$A$5:$A$60,0))=D191,"OK","Jenis tidak cocok"),"Kategori tidak dikenal"))</f>
        <v/>
      </c>
    </row>
    <row r="192" ht="15" customHeight="1" s="33">
      <c r="A192" s="57">
        <f>IF(B192="","",ROW()-4)</f>
        <v/>
      </c>
      <c r="B192" s="58" t="n"/>
      <c r="C192" s="38" t="n"/>
      <c r="D192" s="38" t="n"/>
      <c r="E192" s="38" t="n"/>
      <c r="F192" s="57">
        <f>IF(E192="","",IFERROR(INDEX(Referensi!$C$5:$C$60,MATCH(E192,Referensi!$A$5:$A$60,0)),"?"))</f>
        <v/>
      </c>
      <c r="G192" s="38" t="n"/>
      <c r="H192" s="59" t="n"/>
      <c r="I192" s="38" t="n"/>
      <c r="J192" s="39" t="n"/>
      <c r="K192" s="60">
        <f>IF(J192="","",SUMIFS(J$5:J192,D$5:D192,"Masuk")-SUMIFS(J$5:J192,D$5:D192,"Keluar"))</f>
        <v/>
      </c>
      <c r="L192" s="38" t="n"/>
      <c r="M192" s="38" t="n"/>
      <c r="N192" s="57">
        <f>IF(E192="","",IFERROR(IF(INDEX(Referensi!$B$5:$B$60,MATCH(E192,Referensi!$A$5:$A$60,0))=D192,"OK","Jenis tidak cocok"),"Kategori tidak dikenal"))</f>
        <v/>
      </c>
    </row>
    <row r="193" ht="15" customHeight="1" s="33">
      <c r="A193" s="57">
        <f>IF(B193="","",ROW()-4)</f>
        <v/>
      </c>
      <c r="B193" s="58" t="n"/>
      <c r="C193" s="38" t="n"/>
      <c r="D193" s="38" t="n"/>
      <c r="E193" s="38" t="n"/>
      <c r="F193" s="57">
        <f>IF(E193="","",IFERROR(INDEX(Referensi!$C$5:$C$60,MATCH(E193,Referensi!$A$5:$A$60,0)),"?"))</f>
        <v/>
      </c>
      <c r="G193" s="38" t="n"/>
      <c r="H193" s="59" t="n"/>
      <c r="I193" s="38" t="n"/>
      <c r="J193" s="39" t="n"/>
      <c r="K193" s="60">
        <f>IF(J193="","",SUMIFS(J$5:J193,D$5:D193,"Masuk")-SUMIFS(J$5:J193,D$5:D193,"Keluar"))</f>
        <v/>
      </c>
      <c r="L193" s="38" t="n"/>
      <c r="M193" s="38" t="n"/>
      <c r="N193" s="57">
        <f>IF(E193="","",IFERROR(IF(INDEX(Referensi!$B$5:$B$60,MATCH(E193,Referensi!$A$5:$A$60,0))=D193,"OK","Jenis tidak cocok"),"Kategori tidak dikenal"))</f>
        <v/>
      </c>
    </row>
    <row r="194" ht="15" customHeight="1" s="33">
      <c r="A194" s="57">
        <f>IF(B194="","",ROW()-4)</f>
        <v/>
      </c>
      <c r="B194" s="58" t="n"/>
      <c r="C194" s="38" t="n"/>
      <c r="D194" s="38" t="n"/>
      <c r="E194" s="38" t="n"/>
      <c r="F194" s="57">
        <f>IF(E194="","",IFERROR(INDEX(Referensi!$C$5:$C$60,MATCH(E194,Referensi!$A$5:$A$60,0)),"?"))</f>
        <v/>
      </c>
      <c r="G194" s="38" t="n"/>
      <c r="H194" s="59" t="n"/>
      <c r="I194" s="38" t="n"/>
      <c r="J194" s="39" t="n"/>
      <c r="K194" s="60">
        <f>IF(J194="","",SUMIFS(J$5:J194,D$5:D194,"Masuk")-SUMIFS(J$5:J194,D$5:D194,"Keluar"))</f>
        <v/>
      </c>
      <c r="L194" s="38" t="n"/>
      <c r="M194" s="38" t="n"/>
      <c r="N194" s="57">
        <f>IF(E194="","",IFERROR(IF(INDEX(Referensi!$B$5:$B$60,MATCH(E194,Referensi!$A$5:$A$60,0))=D194,"OK","Jenis tidak cocok"),"Kategori tidak dikenal"))</f>
        <v/>
      </c>
    </row>
    <row r="195" ht="15" customHeight="1" s="33">
      <c r="A195" s="57">
        <f>IF(B195="","",ROW()-4)</f>
        <v/>
      </c>
      <c r="B195" s="58" t="n"/>
      <c r="C195" s="38" t="n"/>
      <c r="D195" s="38" t="n"/>
      <c r="E195" s="38" t="n"/>
      <c r="F195" s="57">
        <f>IF(E195="","",IFERROR(INDEX(Referensi!$C$5:$C$60,MATCH(E195,Referensi!$A$5:$A$60,0)),"?"))</f>
        <v/>
      </c>
      <c r="G195" s="38" t="n"/>
      <c r="H195" s="59" t="n"/>
      <c r="I195" s="38" t="n"/>
      <c r="J195" s="39" t="n"/>
      <c r="K195" s="60">
        <f>IF(J195="","",SUMIFS(J$5:J195,D$5:D195,"Masuk")-SUMIFS(J$5:J195,D$5:D195,"Keluar"))</f>
        <v/>
      </c>
      <c r="L195" s="38" t="n"/>
      <c r="M195" s="38" t="n"/>
      <c r="N195" s="57">
        <f>IF(E195="","",IFERROR(IF(INDEX(Referensi!$B$5:$B$60,MATCH(E195,Referensi!$A$5:$A$60,0))=D195,"OK","Jenis tidak cocok"),"Kategori tidak dikenal"))</f>
        <v/>
      </c>
    </row>
    <row r="196" ht="15" customHeight="1" s="33">
      <c r="A196" s="57">
        <f>IF(B196="","",ROW()-4)</f>
        <v/>
      </c>
      <c r="B196" s="58" t="n"/>
      <c r="C196" s="38" t="n"/>
      <c r="D196" s="38" t="n"/>
      <c r="E196" s="38" t="n"/>
      <c r="F196" s="57">
        <f>IF(E196="","",IFERROR(INDEX(Referensi!$C$5:$C$60,MATCH(E196,Referensi!$A$5:$A$60,0)),"?"))</f>
        <v/>
      </c>
      <c r="G196" s="38" t="n"/>
      <c r="H196" s="59" t="n"/>
      <c r="I196" s="38" t="n"/>
      <c r="J196" s="39" t="n"/>
      <c r="K196" s="60">
        <f>IF(J196="","",SUMIFS(J$5:J196,D$5:D196,"Masuk")-SUMIFS(J$5:J196,D$5:D196,"Keluar"))</f>
        <v/>
      </c>
      <c r="L196" s="38" t="n"/>
      <c r="M196" s="38" t="n"/>
      <c r="N196" s="57">
        <f>IF(E196="","",IFERROR(IF(INDEX(Referensi!$B$5:$B$60,MATCH(E196,Referensi!$A$5:$A$60,0))=D196,"OK","Jenis tidak cocok"),"Kategori tidak dikenal"))</f>
        <v/>
      </c>
    </row>
    <row r="197" ht="15" customHeight="1" s="33">
      <c r="A197" s="57">
        <f>IF(B197="","",ROW()-4)</f>
        <v/>
      </c>
      <c r="B197" s="58" t="n"/>
      <c r="C197" s="38" t="n"/>
      <c r="D197" s="38" t="n"/>
      <c r="E197" s="38" t="n"/>
      <c r="F197" s="57">
        <f>IF(E197="","",IFERROR(INDEX(Referensi!$C$5:$C$60,MATCH(E197,Referensi!$A$5:$A$60,0)),"?"))</f>
        <v/>
      </c>
      <c r="G197" s="38" t="n"/>
      <c r="H197" s="59" t="n"/>
      <c r="I197" s="38" t="n"/>
      <c r="J197" s="39" t="n"/>
      <c r="K197" s="60">
        <f>IF(J197="","",SUMIFS(J$5:J197,D$5:D197,"Masuk")-SUMIFS(J$5:J197,D$5:D197,"Keluar"))</f>
        <v/>
      </c>
      <c r="L197" s="38" t="n"/>
      <c r="M197" s="38" t="n"/>
      <c r="N197" s="57">
        <f>IF(E197="","",IFERROR(IF(INDEX(Referensi!$B$5:$B$60,MATCH(E197,Referensi!$A$5:$A$60,0))=D197,"OK","Jenis tidak cocok"),"Kategori tidak dikenal"))</f>
        <v/>
      </c>
    </row>
    <row r="198" ht="15" customHeight="1" s="33">
      <c r="A198" s="57">
        <f>IF(B198="","",ROW()-4)</f>
        <v/>
      </c>
      <c r="B198" s="58" t="n"/>
      <c r="C198" s="38" t="n"/>
      <c r="D198" s="38" t="n"/>
      <c r="E198" s="38" t="n"/>
      <c r="F198" s="57">
        <f>IF(E198="","",IFERROR(INDEX(Referensi!$C$5:$C$60,MATCH(E198,Referensi!$A$5:$A$60,0)),"?"))</f>
        <v/>
      </c>
      <c r="G198" s="38" t="n"/>
      <c r="H198" s="59" t="n"/>
      <c r="I198" s="38" t="n"/>
      <c r="J198" s="39" t="n"/>
      <c r="K198" s="60">
        <f>IF(J198="","",SUMIFS(J$5:J198,D$5:D198,"Masuk")-SUMIFS(J$5:J198,D$5:D198,"Keluar"))</f>
        <v/>
      </c>
      <c r="L198" s="38" t="n"/>
      <c r="M198" s="38" t="n"/>
      <c r="N198" s="57">
        <f>IF(E198="","",IFERROR(IF(INDEX(Referensi!$B$5:$B$60,MATCH(E198,Referensi!$A$5:$A$60,0))=D198,"OK","Jenis tidak cocok"),"Kategori tidak dikenal"))</f>
        <v/>
      </c>
    </row>
    <row r="199" ht="15" customHeight="1" s="33">
      <c r="A199" s="57">
        <f>IF(B199="","",ROW()-4)</f>
        <v/>
      </c>
      <c r="B199" s="58" t="n"/>
      <c r="C199" s="38" t="n"/>
      <c r="D199" s="38" t="n"/>
      <c r="E199" s="38" t="n"/>
      <c r="F199" s="57">
        <f>IF(E199="","",IFERROR(INDEX(Referensi!$C$5:$C$60,MATCH(E199,Referensi!$A$5:$A$60,0)),"?"))</f>
        <v/>
      </c>
      <c r="G199" s="38" t="n"/>
      <c r="H199" s="59" t="n"/>
      <c r="I199" s="38" t="n"/>
      <c r="J199" s="39" t="n"/>
      <c r="K199" s="60">
        <f>IF(J199="","",SUMIFS(J$5:J199,D$5:D199,"Masuk")-SUMIFS(J$5:J199,D$5:D199,"Keluar"))</f>
        <v/>
      </c>
      <c r="L199" s="38" t="n"/>
      <c r="M199" s="38" t="n"/>
      <c r="N199" s="57">
        <f>IF(E199="","",IFERROR(IF(INDEX(Referensi!$B$5:$B$60,MATCH(E199,Referensi!$A$5:$A$60,0))=D199,"OK","Jenis tidak cocok"),"Kategori tidak dikenal"))</f>
        <v/>
      </c>
    </row>
    <row r="200" ht="15" customHeight="1" s="33">
      <c r="A200" s="57">
        <f>IF(B200="","",ROW()-4)</f>
        <v/>
      </c>
      <c r="B200" s="58" t="n"/>
      <c r="C200" s="38" t="n"/>
      <c r="D200" s="38" t="n"/>
      <c r="E200" s="38" t="n"/>
      <c r="F200" s="57">
        <f>IF(E200="","",IFERROR(INDEX(Referensi!$C$5:$C$60,MATCH(E200,Referensi!$A$5:$A$60,0)),"?"))</f>
        <v/>
      </c>
      <c r="G200" s="38" t="n"/>
      <c r="H200" s="59" t="n"/>
      <c r="I200" s="38" t="n"/>
      <c r="J200" s="39" t="n"/>
      <c r="K200" s="60">
        <f>IF(J200="","",SUMIFS(J$5:J200,D$5:D200,"Masuk")-SUMIFS(J$5:J200,D$5:D200,"Keluar"))</f>
        <v/>
      </c>
      <c r="L200" s="38" t="n"/>
      <c r="M200" s="38" t="n"/>
      <c r="N200" s="57">
        <f>IF(E200="","",IFERROR(IF(INDEX(Referensi!$B$5:$B$60,MATCH(E200,Referensi!$A$5:$A$60,0))=D200,"OK","Jenis tidak cocok"),"Kategori tidak dikenal"))</f>
        <v/>
      </c>
    </row>
    <row r="201" ht="15" customHeight="1" s="33">
      <c r="A201" s="57">
        <f>IF(B201="","",ROW()-4)</f>
        <v/>
      </c>
      <c r="B201" s="58" t="n"/>
      <c r="C201" s="38" t="n"/>
      <c r="D201" s="38" t="n"/>
      <c r="E201" s="38" t="n"/>
      <c r="F201" s="57">
        <f>IF(E201="","",IFERROR(INDEX(Referensi!$C$5:$C$60,MATCH(E201,Referensi!$A$5:$A$60,0)),"?"))</f>
        <v/>
      </c>
      <c r="G201" s="38" t="n"/>
      <c r="H201" s="59" t="n"/>
      <c r="I201" s="38" t="n"/>
      <c r="J201" s="39" t="n"/>
      <c r="K201" s="60">
        <f>IF(J201="","",SUMIFS(J$5:J201,D$5:D201,"Masuk")-SUMIFS(J$5:J201,D$5:D201,"Keluar"))</f>
        <v/>
      </c>
      <c r="L201" s="38" t="n"/>
      <c r="M201" s="38" t="n"/>
      <c r="N201" s="57">
        <f>IF(E201="","",IFERROR(IF(INDEX(Referensi!$B$5:$B$60,MATCH(E201,Referensi!$A$5:$A$60,0))=D201,"OK","Jenis tidak cocok"),"Kategori tidak dikenal"))</f>
        <v/>
      </c>
    </row>
    <row r="202" ht="15" customHeight="1" s="33">
      <c r="A202" s="57">
        <f>IF(B202="","",ROW()-4)</f>
        <v/>
      </c>
      <c r="B202" s="58" t="n"/>
      <c r="C202" s="38" t="n"/>
      <c r="D202" s="38" t="n"/>
      <c r="E202" s="38" t="n"/>
      <c r="F202" s="57">
        <f>IF(E202="","",IFERROR(INDEX(Referensi!$C$5:$C$60,MATCH(E202,Referensi!$A$5:$A$60,0)),"?"))</f>
        <v/>
      </c>
      <c r="G202" s="38" t="n"/>
      <c r="H202" s="59" t="n"/>
      <c r="I202" s="38" t="n"/>
      <c r="J202" s="39" t="n"/>
      <c r="K202" s="60">
        <f>IF(J202="","",SUMIFS(J$5:J202,D$5:D202,"Masuk")-SUMIFS(J$5:J202,D$5:D202,"Keluar"))</f>
        <v/>
      </c>
      <c r="L202" s="38" t="n"/>
      <c r="M202" s="38" t="n"/>
      <c r="N202" s="57">
        <f>IF(E202="","",IFERROR(IF(INDEX(Referensi!$B$5:$B$60,MATCH(E202,Referensi!$A$5:$A$60,0))=D202,"OK","Jenis tidak cocok"),"Kategori tidak dikenal"))</f>
        <v/>
      </c>
    </row>
    <row r="203" ht="15" customHeight="1" s="33">
      <c r="A203" s="57">
        <f>IF(B203="","",ROW()-4)</f>
        <v/>
      </c>
      <c r="B203" s="58" t="n"/>
      <c r="C203" s="38" t="n"/>
      <c r="D203" s="38" t="n"/>
      <c r="E203" s="38" t="n"/>
      <c r="F203" s="57">
        <f>IF(E203="","",IFERROR(INDEX(Referensi!$C$5:$C$60,MATCH(E203,Referensi!$A$5:$A$60,0)),"?"))</f>
        <v/>
      </c>
      <c r="G203" s="38" t="n"/>
      <c r="H203" s="59" t="n"/>
      <c r="I203" s="38" t="n"/>
      <c r="J203" s="39" t="n"/>
      <c r="K203" s="60">
        <f>IF(J203="","",SUMIFS(J$5:J203,D$5:D203,"Masuk")-SUMIFS(J$5:J203,D$5:D203,"Keluar"))</f>
        <v/>
      </c>
      <c r="L203" s="38" t="n"/>
      <c r="M203" s="38" t="n"/>
      <c r="N203" s="57">
        <f>IF(E203="","",IFERROR(IF(INDEX(Referensi!$B$5:$B$60,MATCH(E203,Referensi!$A$5:$A$60,0))=D203,"OK","Jenis tidak cocok"),"Kategori tidak dikenal"))</f>
        <v/>
      </c>
    </row>
    <row r="204" ht="15" customHeight="1" s="33">
      <c r="A204" s="57">
        <f>IF(B204="","",ROW()-4)</f>
        <v/>
      </c>
      <c r="B204" s="58" t="n"/>
      <c r="C204" s="38" t="n"/>
      <c r="D204" s="38" t="n"/>
      <c r="E204" s="38" t="n"/>
      <c r="F204" s="57">
        <f>IF(E204="","",IFERROR(INDEX(Referensi!$C$5:$C$60,MATCH(E204,Referensi!$A$5:$A$60,0)),"?"))</f>
        <v/>
      </c>
      <c r="G204" s="38" t="n"/>
      <c r="H204" s="59" t="n"/>
      <c r="I204" s="38" t="n"/>
      <c r="J204" s="39" t="n"/>
      <c r="K204" s="60">
        <f>IF(J204="","",SUMIFS(J$5:J204,D$5:D204,"Masuk")-SUMIFS(J$5:J204,D$5:D204,"Keluar"))</f>
        <v/>
      </c>
      <c r="L204" s="38" t="n"/>
      <c r="M204" s="38" t="n"/>
      <c r="N204" s="57">
        <f>IF(E204="","",IFERROR(IF(INDEX(Referensi!$B$5:$B$60,MATCH(E204,Referensi!$A$5:$A$60,0))=D204,"OK","Jenis tidak cocok"),"Kategori tidak dikenal"))</f>
        <v/>
      </c>
    </row>
    <row r="205" ht="15" customHeight="1" s="33">
      <c r="A205" s="57">
        <f>IF(B205="","",ROW()-4)</f>
        <v/>
      </c>
      <c r="B205" s="58" t="n"/>
      <c r="C205" s="38" t="n"/>
      <c r="D205" s="38" t="n"/>
      <c r="E205" s="38" t="n"/>
      <c r="F205" s="57">
        <f>IF(E205="","",IFERROR(INDEX(Referensi!$C$5:$C$60,MATCH(E205,Referensi!$A$5:$A$60,0)),"?"))</f>
        <v/>
      </c>
      <c r="G205" s="38" t="n"/>
      <c r="H205" s="59" t="n"/>
      <c r="I205" s="38" t="n"/>
      <c r="J205" s="39" t="n"/>
      <c r="K205" s="60">
        <f>IF(J205="","",SUMIFS(J$5:J205,D$5:D205,"Masuk")-SUMIFS(J$5:J205,D$5:D205,"Keluar"))</f>
        <v/>
      </c>
      <c r="L205" s="38" t="n"/>
      <c r="M205" s="38" t="n"/>
      <c r="N205" s="57">
        <f>IF(E205="","",IFERROR(IF(INDEX(Referensi!$B$5:$B$60,MATCH(E205,Referensi!$A$5:$A$60,0))=D205,"OK","Jenis tidak cocok"),"Kategori tidak dikenal"))</f>
        <v/>
      </c>
    </row>
    <row r="206" ht="15" customHeight="1" s="33">
      <c r="A206" s="57">
        <f>IF(B206="","",ROW()-4)</f>
        <v/>
      </c>
      <c r="B206" s="58" t="n"/>
      <c r="C206" s="38" t="n"/>
      <c r="D206" s="38" t="n"/>
      <c r="E206" s="38" t="n"/>
      <c r="F206" s="57">
        <f>IF(E206="","",IFERROR(INDEX(Referensi!$C$5:$C$60,MATCH(E206,Referensi!$A$5:$A$60,0)),"?"))</f>
        <v/>
      </c>
      <c r="G206" s="38" t="n"/>
      <c r="H206" s="59" t="n"/>
      <c r="I206" s="38" t="n"/>
      <c r="J206" s="39" t="n"/>
      <c r="K206" s="60">
        <f>IF(J206="","",SUMIFS(J$5:J206,D$5:D206,"Masuk")-SUMIFS(J$5:J206,D$5:D206,"Keluar"))</f>
        <v/>
      </c>
      <c r="L206" s="38" t="n"/>
      <c r="M206" s="38" t="n"/>
      <c r="N206" s="57">
        <f>IF(E206="","",IFERROR(IF(INDEX(Referensi!$B$5:$B$60,MATCH(E206,Referensi!$A$5:$A$60,0))=D206,"OK","Jenis tidak cocok"),"Kategori tidak dikenal"))</f>
        <v/>
      </c>
    </row>
    <row r="207" ht="15" customHeight="1" s="33">
      <c r="A207" s="57">
        <f>IF(B207="","",ROW()-4)</f>
        <v/>
      </c>
      <c r="B207" s="58" t="n"/>
      <c r="C207" s="38" t="n"/>
      <c r="D207" s="38" t="n"/>
      <c r="E207" s="38" t="n"/>
      <c r="F207" s="57">
        <f>IF(E207="","",IFERROR(INDEX(Referensi!$C$5:$C$60,MATCH(E207,Referensi!$A$5:$A$60,0)),"?"))</f>
        <v/>
      </c>
      <c r="G207" s="38" t="n"/>
      <c r="H207" s="59" t="n"/>
      <c r="I207" s="38" t="n"/>
      <c r="J207" s="39" t="n"/>
      <c r="K207" s="60">
        <f>IF(J207="","",SUMIFS(J$5:J207,D$5:D207,"Masuk")-SUMIFS(J$5:J207,D$5:D207,"Keluar"))</f>
        <v/>
      </c>
      <c r="L207" s="38" t="n"/>
      <c r="M207" s="38" t="n"/>
      <c r="N207" s="57">
        <f>IF(E207="","",IFERROR(IF(INDEX(Referensi!$B$5:$B$60,MATCH(E207,Referensi!$A$5:$A$60,0))=D207,"OK","Jenis tidak cocok"),"Kategori tidak dikenal"))</f>
        <v/>
      </c>
    </row>
    <row r="208" ht="15" customHeight="1" s="33">
      <c r="A208" s="57">
        <f>IF(B208="","",ROW()-4)</f>
        <v/>
      </c>
      <c r="B208" s="58" t="n"/>
      <c r="C208" s="38" t="n"/>
      <c r="D208" s="38" t="n"/>
      <c r="E208" s="38" t="n"/>
      <c r="F208" s="57">
        <f>IF(E208="","",IFERROR(INDEX(Referensi!$C$5:$C$60,MATCH(E208,Referensi!$A$5:$A$60,0)),"?"))</f>
        <v/>
      </c>
      <c r="G208" s="38" t="n"/>
      <c r="H208" s="59" t="n"/>
      <c r="I208" s="38" t="n"/>
      <c r="J208" s="39" t="n"/>
      <c r="K208" s="60">
        <f>IF(J208="","",SUMIFS(J$5:J208,D$5:D208,"Masuk")-SUMIFS(J$5:J208,D$5:D208,"Keluar"))</f>
        <v/>
      </c>
      <c r="L208" s="38" t="n"/>
      <c r="M208" s="38" t="n"/>
      <c r="N208" s="57">
        <f>IF(E208="","",IFERROR(IF(INDEX(Referensi!$B$5:$B$60,MATCH(E208,Referensi!$A$5:$A$60,0))=D208,"OK","Jenis tidak cocok"),"Kategori tidak dikenal"))</f>
        <v/>
      </c>
    </row>
    <row r="209" ht="15" customHeight="1" s="33">
      <c r="A209" s="57">
        <f>IF(B209="","",ROW()-4)</f>
        <v/>
      </c>
      <c r="B209" s="58" t="n"/>
      <c r="C209" s="38" t="n"/>
      <c r="D209" s="38" t="n"/>
      <c r="E209" s="38" t="n"/>
      <c r="F209" s="57">
        <f>IF(E209="","",IFERROR(INDEX(Referensi!$C$5:$C$60,MATCH(E209,Referensi!$A$5:$A$60,0)),"?"))</f>
        <v/>
      </c>
      <c r="G209" s="38" t="n"/>
      <c r="H209" s="59" t="n"/>
      <c r="I209" s="38" t="n"/>
      <c r="J209" s="39" t="n"/>
      <c r="K209" s="60">
        <f>IF(J209="","",SUMIFS(J$5:J209,D$5:D209,"Masuk")-SUMIFS(J$5:J209,D$5:D209,"Keluar"))</f>
        <v/>
      </c>
      <c r="L209" s="38" t="n"/>
      <c r="M209" s="38" t="n"/>
      <c r="N209" s="57">
        <f>IF(E209="","",IFERROR(IF(INDEX(Referensi!$B$5:$B$60,MATCH(E209,Referensi!$A$5:$A$60,0))=D209,"OK","Jenis tidak cocok"),"Kategori tidak dikenal"))</f>
        <v/>
      </c>
    </row>
    <row r="210" ht="15" customHeight="1" s="33">
      <c r="A210" s="57">
        <f>IF(B210="","",ROW()-4)</f>
        <v/>
      </c>
      <c r="B210" s="58" t="n"/>
      <c r="C210" s="38" t="n"/>
      <c r="D210" s="38" t="n"/>
      <c r="E210" s="38" t="n"/>
      <c r="F210" s="57">
        <f>IF(E210="","",IFERROR(INDEX(Referensi!$C$5:$C$60,MATCH(E210,Referensi!$A$5:$A$60,0)),"?"))</f>
        <v/>
      </c>
      <c r="G210" s="38" t="n"/>
      <c r="H210" s="59" t="n"/>
      <c r="I210" s="38" t="n"/>
      <c r="J210" s="39" t="n"/>
      <c r="K210" s="60">
        <f>IF(J210="","",SUMIFS(J$5:J210,D$5:D210,"Masuk")-SUMIFS(J$5:J210,D$5:D210,"Keluar"))</f>
        <v/>
      </c>
      <c r="L210" s="38" t="n"/>
      <c r="M210" s="38" t="n"/>
      <c r="N210" s="57">
        <f>IF(E210="","",IFERROR(IF(INDEX(Referensi!$B$5:$B$60,MATCH(E210,Referensi!$A$5:$A$60,0))=D210,"OK","Jenis tidak cocok"),"Kategori tidak dikenal"))</f>
        <v/>
      </c>
    </row>
    <row r="211" ht="15" customHeight="1" s="33">
      <c r="A211" s="57">
        <f>IF(B211="","",ROW()-4)</f>
        <v/>
      </c>
      <c r="B211" s="58" t="n"/>
      <c r="C211" s="38" t="n"/>
      <c r="D211" s="38" t="n"/>
      <c r="E211" s="38" t="n"/>
      <c r="F211" s="57">
        <f>IF(E211="","",IFERROR(INDEX(Referensi!$C$5:$C$60,MATCH(E211,Referensi!$A$5:$A$60,0)),"?"))</f>
        <v/>
      </c>
      <c r="G211" s="38" t="n"/>
      <c r="H211" s="59" t="n"/>
      <c r="I211" s="38" t="n"/>
      <c r="J211" s="39" t="n"/>
      <c r="K211" s="60">
        <f>IF(J211="","",SUMIFS(J$5:J211,D$5:D211,"Masuk")-SUMIFS(J$5:J211,D$5:D211,"Keluar"))</f>
        <v/>
      </c>
      <c r="L211" s="38" t="n"/>
      <c r="M211" s="38" t="n"/>
      <c r="N211" s="57">
        <f>IF(E211="","",IFERROR(IF(INDEX(Referensi!$B$5:$B$60,MATCH(E211,Referensi!$A$5:$A$60,0))=D211,"OK","Jenis tidak cocok"),"Kategori tidak dikenal"))</f>
        <v/>
      </c>
    </row>
    <row r="212" ht="15" customHeight="1" s="33">
      <c r="A212" s="57">
        <f>IF(B212="","",ROW()-4)</f>
        <v/>
      </c>
      <c r="B212" s="58" t="n"/>
      <c r="C212" s="38" t="n"/>
      <c r="D212" s="38" t="n"/>
      <c r="E212" s="38" t="n"/>
      <c r="F212" s="57">
        <f>IF(E212="","",IFERROR(INDEX(Referensi!$C$5:$C$60,MATCH(E212,Referensi!$A$5:$A$60,0)),"?"))</f>
        <v/>
      </c>
      <c r="G212" s="38" t="n"/>
      <c r="H212" s="59" t="n"/>
      <c r="I212" s="38" t="n"/>
      <c r="J212" s="39" t="n"/>
      <c r="K212" s="60">
        <f>IF(J212="","",SUMIFS(J$5:J212,D$5:D212,"Masuk")-SUMIFS(J$5:J212,D$5:D212,"Keluar"))</f>
        <v/>
      </c>
      <c r="L212" s="38" t="n"/>
      <c r="M212" s="38" t="n"/>
      <c r="N212" s="57">
        <f>IF(E212="","",IFERROR(IF(INDEX(Referensi!$B$5:$B$60,MATCH(E212,Referensi!$A$5:$A$60,0))=D212,"OK","Jenis tidak cocok"),"Kategori tidak dikenal"))</f>
        <v/>
      </c>
    </row>
    <row r="213" ht="15" customHeight="1" s="33">
      <c r="A213" s="57">
        <f>IF(B213="","",ROW()-4)</f>
        <v/>
      </c>
      <c r="B213" s="58" t="n"/>
      <c r="C213" s="38" t="n"/>
      <c r="D213" s="38" t="n"/>
      <c r="E213" s="38" t="n"/>
      <c r="F213" s="57">
        <f>IF(E213="","",IFERROR(INDEX(Referensi!$C$5:$C$60,MATCH(E213,Referensi!$A$5:$A$60,0)),"?"))</f>
        <v/>
      </c>
      <c r="G213" s="38" t="n"/>
      <c r="H213" s="59" t="n"/>
      <c r="I213" s="38" t="n"/>
      <c r="J213" s="39" t="n"/>
      <c r="K213" s="60">
        <f>IF(J213="","",SUMIFS(J$5:J213,D$5:D213,"Masuk")-SUMIFS(J$5:J213,D$5:D213,"Keluar"))</f>
        <v/>
      </c>
      <c r="L213" s="38" t="n"/>
      <c r="M213" s="38" t="n"/>
      <c r="N213" s="57">
        <f>IF(E213="","",IFERROR(IF(INDEX(Referensi!$B$5:$B$60,MATCH(E213,Referensi!$A$5:$A$60,0))=D213,"OK","Jenis tidak cocok"),"Kategori tidak dikenal"))</f>
        <v/>
      </c>
    </row>
    <row r="214" ht="15" customHeight="1" s="33">
      <c r="A214" s="57">
        <f>IF(B214="","",ROW()-4)</f>
        <v/>
      </c>
      <c r="B214" s="58" t="n"/>
      <c r="C214" s="38" t="n"/>
      <c r="D214" s="38" t="n"/>
      <c r="E214" s="38" t="n"/>
      <c r="F214" s="57">
        <f>IF(E214="","",IFERROR(INDEX(Referensi!$C$5:$C$60,MATCH(E214,Referensi!$A$5:$A$60,0)),"?"))</f>
        <v/>
      </c>
      <c r="G214" s="38" t="n"/>
      <c r="H214" s="59" t="n"/>
      <c r="I214" s="38" t="n"/>
      <c r="J214" s="39" t="n"/>
      <c r="K214" s="60">
        <f>IF(J214="","",SUMIFS(J$5:J214,D$5:D214,"Masuk")-SUMIFS(J$5:J214,D$5:D214,"Keluar"))</f>
        <v/>
      </c>
      <c r="L214" s="38" t="n"/>
      <c r="M214" s="38" t="n"/>
      <c r="N214" s="57">
        <f>IF(E214="","",IFERROR(IF(INDEX(Referensi!$B$5:$B$60,MATCH(E214,Referensi!$A$5:$A$60,0))=D214,"OK","Jenis tidak cocok"),"Kategori tidak dikenal"))</f>
        <v/>
      </c>
    </row>
    <row r="215" ht="15" customHeight="1" s="33">
      <c r="A215" s="57">
        <f>IF(B215="","",ROW()-4)</f>
        <v/>
      </c>
      <c r="B215" s="58" t="n"/>
      <c r="C215" s="38" t="n"/>
      <c r="D215" s="38" t="n"/>
      <c r="E215" s="38" t="n"/>
      <c r="F215" s="57">
        <f>IF(E215="","",IFERROR(INDEX(Referensi!$C$5:$C$60,MATCH(E215,Referensi!$A$5:$A$60,0)),"?"))</f>
        <v/>
      </c>
      <c r="G215" s="38" t="n"/>
      <c r="H215" s="59" t="n"/>
      <c r="I215" s="38" t="n"/>
      <c r="J215" s="39" t="n"/>
      <c r="K215" s="60">
        <f>IF(J215="","",SUMIFS(J$5:J215,D$5:D215,"Masuk")-SUMIFS(J$5:J215,D$5:D215,"Keluar"))</f>
        <v/>
      </c>
      <c r="L215" s="38" t="n"/>
      <c r="M215" s="38" t="n"/>
      <c r="N215" s="57">
        <f>IF(E215="","",IFERROR(IF(INDEX(Referensi!$B$5:$B$60,MATCH(E215,Referensi!$A$5:$A$60,0))=D215,"OK","Jenis tidak cocok"),"Kategori tidak dikenal"))</f>
        <v/>
      </c>
    </row>
    <row r="216" ht="15" customHeight="1" s="33">
      <c r="A216" s="57">
        <f>IF(B216="","",ROW()-4)</f>
        <v/>
      </c>
      <c r="B216" s="58" t="n"/>
      <c r="C216" s="38" t="n"/>
      <c r="D216" s="38" t="n"/>
      <c r="E216" s="38" t="n"/>
      <c r="F216" s="57">
        <f>IF(E216="","",IFERROR(INDEX(Referensi!$C$5:$C$60,MATCH(E216,Referensi!$A$5:$A$60,0)),"?"))</f>
        <v/>
      </c>
      <c r="G216" s="38" t="n"/>
      <c r="H216" s="59" t="n"/>
      <c r="I216" s="38" t="n"/>
      <c r="J216" s="39" t="n"/>
      <c r="K216" s="60">
        <f>IF(J216="","",SUMIFS(J$5:J216,D$5:D216,"Masuk")-SUMIFS(J$5:J216,D$5:D216,"Keluar"))</f>
        <v/>
      </c>
      <c r="L216" s="38" t="n"/>
      <c r="M216" s="38" t="n"/>
      <c r="N216" s="57">
        <f>IF(E216="","",IFERROR(IF(INDEX(Referensi!$B$5:$B$60,MATCH(E216,Referensi!$A$5:$A$60,0))=D216,"OK","Jenis tidak cocok"),"Kategori tidak dikenal"))</f>
        <v/>
      </c>
    </row>
    <row r="217" ht="15" customHeight="1" s="33">
      <c r="A217" s="57">
        <f>IF(B217="","",ROW()-4)</f>
        <v/>
      </c>
      <c r="B217" s="58" t="n"/>
      <c r="C217" s="38" t="n"/>
      <c r="D217" s="38" t="n"/>
      <c r="E217" s="38" t="n"/>
      <c r="F217" s="57">
        <f>IF(E217="","",IFERROR(INDEX(Referensi!$C$5:$C$60,MATCH(E217,Referensi!$A$5:$A$60,0)),"?"))</f>
        <v/>
      </c>
      <c r="G217" s="38" t="n"/>
      <c r="H217" s="59" t="n"/>
      <c r="I217" s="38" t="n"/>
      <c r="J217" s="39" t="n"/>
      <c r="K217" s="60">
        <f>IF(J217="","",SUMIFS(J$5:J217,D$5:D217,"Masuk")-SUMIFS(J$5:J217,D$5:D217,"Keluar"))</f>
        <v/>
      </c>
      <c r="L217" s="38" t="n"/>
      <c r="M217" s="38" t="n"/>
      <c r="N217" s="57">
        <f>IF(E217="","",IFERROR(IF(INDEX(Referensi!$B$5:$B$60,MATCH(E217,Referensi!$A$5:$A$60,0))=D217,"OK","Jenis tidak cocok"),"Kategori tidak dikenal"))</f>
        <v/>
      </c>
    </row>
    <row r="218" ht="15" customHeight="1" s="33">
      <c r="A218" s="57">
        <f>IF(B218="","",ROW()-4)</f>
        <v/>
      </c>
      <c r="B218" s="58" t="n"/>
      <c r="C218" s="38" t="n"/>
      <c r="D218" s="38" t="n"/>
      <c r="E218" s="38" t="n"/>
      <c r="F218" s="57">
        <f>IF(E218="","",IFERROR(INDEX(Referensi!$C$5:$C$60,MATCH(E218,Referensi!$A$5:$A$60,0)),"?"))</f>
        <v/>
      </c>
      <c r="G218" s="38" t="n"/>
      <c r="H218" s="59" t="n"/>
      <c r="I218" s="38" t="n"/>
      <c r="J218" s="39" t="n"/>
      <c r="K218" s="60">
        <f>IF(J218="","",SUMIFS(J$5:J218,D$5:D218,"Masuk")-SUMIFS(J$5:J218,D$5:D218,"Keluar"))</f>
        <v/>
      </c>
      <c r="L218" s="38" t="n"/>
      <c r="M218" s="38" t="n"/>
      <c r="N218" s="57">
        <f>IF(E218="","",IFERROR(IF(INDEX(Referensi!$B$5:$B$60,MATCH(E218,Referensi!$A$5:$A$60,0))=D218,"OK","Jenis tidak cocok"),"Kategori tidak dikenal"))</f>
        <v/>
      </c>
    </row>
    <row r="219" ht="15" customHeight="1" s="33">
      <c r="A219" s="57">
        <f>IF(B219="","",ROW()-4)</f>
        <v/>
      </c>
      <c r="B219" s="58" t="n"/>
      <c r="C219" s="38" t="n"/>
      <c r="D219" s="38" t="n"/>
      <c r="E219" s="38" t="n"/>
      <c r="F219" s="57">
        <f>IF(E219="","",IFERROR(INDEX(Referensi!$C$5:$C$60,MATCH(E219,Referensi!$A$5:$A$60,0)),"?"))</f>
        <v/>
      </c>
      <c r="G219" s="38" t="n"/>
      <c r="H219" s="59" t="n"/>
      <c r="I219" s="38" t="n"/>
      <c r="J219" s="39" t="n"/>
      <c r="K219" s="60">
        <f>IF(J219="","",SUMIFS(J$5:J219,D$5:D219,"Masuk")-SUMIFS(J$5:J219,D$5:D219,"Keluar"))</f>
        <v/>
      </c>
      <c r="L219" s="38" t="n"/>
      <c r="M219" s="38" t="n"/>
      <c r="N219" s="57">
        <f>IF(E219="","",IFERROR(IF(INDEX(Referensi!$B$5:$B$60,MATCH(E219,Referensi!$A$5:$A$60,0))=D219,"OK","Jenis tidak cocok"),"Kategori tidak dikenal"))</f>
        <v/>
      </c>
    </row>
    <row r="220" ht="15" customHeight="1" s="33">
      <c r="A220" s="57">
        <f>IF(B220="","",ROW()-4)</f>
        <v/>
      </c>
      <c r="B220" s="58" t="n"/>
      <c r="C220" s="38" t="n"/>
      <c r="D220" s="38" t="n"/>
      <c r="E220" s="38" t="n"/>
      <c r="F220" s="57">
        <f>IF(E220="","",IFERROR(INDEX(Referensi!$C$5:$C$60,MATCH(E220,Referensi!$A$5:$A$60,0)),"?"))</f>
        <v/>
      </c>
      <c r="G220" s="38" t="n"/>
      <c r="H220" s="59" t="n"/>
      <c r="I220" s="38" t="n"/>
      <c r="J220" s="39" t="n"/>
      <c r="K220" s="60">
        <f>IF(J220="","",SUMIFS(J$5:J220,D$5:D220,"Masuk")-SUMIFS(J$5:J220,D$5:D220,"Keluar"))</f>
        <v/>
      </c>
      <c r="L220" s="38" t="n"/>
      <c r="M220" s="38" t="n"/>
      <c r="N220" s="57">
        <f>IF(E220="","",IFERROR(IF(INDEX(Referensi!$B$5:$B$60,MATCH(E220,Referensi!$A$5:$A$60,0))=D220,"OK","Jenis tidak cocok"),"Kategori tidak dikenal"))</f>
        <v/>
      </c>
    </row>
    <row r="221" ht="15" customHeight="1" s="33">
      <c r="A221" s="57">
        <f>IF(B221="","",ROW()-4)</f>
        <v/>
      </c>
      <c r="B221" s="58" t="n"/>
      <c r="C221" s="38" t="n"/>
      <c r="D221" s="38" t="n"/>
      <c r="E221" s="38" t="n"/>
      <c r="F221" s="57">
        <f>IF(E221="","",IFERROR(INDEX(Referensi!$C$5:$C$60,MATCH(E221,Referensi!$A$5:$A$60,0)),"?"))</f>
        <v/>
      </c>
      <c r="G221" s="38" t="n"/>
      <c r="H221" s="59" t="n"/>
      <c r="I221" s="38" t="n"/>
      <c r="J221" s="39" t="n"/>
      <c r="K221" s="60">
        <f>IF(J221="","",SUMIFS(J$5:J221,D$5:D221,"Masuk")-SUMIFS(J$5:J221,D$5:D221,"Keluar"))</f>
        <v/>
      </c>
      <c r="L221" s="38" t="n"/>
      <c r="M221" s="38" t="n"/>
      <c r="N221" s="57">
        <f>IF(E221="","",IFERROR(IF(INDEX(Referensi!$B$5:$B$60,MATCH(E221,Referensi!$A$5:$A$60,0))=D221,"OK","Jenis tidak cocok"),"Kategori tidak dikenal"))</f>
        <v/>
      </c>
    </row>
    <row r="222" ht="15" customHeight="1" s="33">
      <c r="A222" s="57">
        <f>IF(B222="","",ROW()-4)</f>
        <v/>
      </c>
      <c r="B222" s="58" t="n"/>
      <c r="C222" s="38" t="n"/>
      <c r="D222" s="38" t="n"/>
      <c r="E222" s="38" t="n"/>
      <c r="F222" s="57">
        <f>IF(E222="","",IFERROR(INDEX(Referensi!$C$5:$C$60,MATCH(E222,Referensi!$A$5:$A$60,0)),"?"))</f>
        <v/>
      </c>
      <c r="G222" s="38" t="n"/>
      <c r="H222" s="59" t="n"/>
      <c r="I222" s="38" t="n"/>
      <c r="J222" s="39" t="n"/>
      <c r="K222" s="60">
        <f>IF(J222="","",SUMIFS(J$5:J222,D$5:D222,"Masuk")-SUMIFS(J$5:J222,D$5:D222,"Keluar"))</f>
        <v/>
      </c>
      <c r="L222" s="38" t="n"/>
      <c r="M222" s="38" t="n"/>
      <c r="N222" s="57">
        <f>IF(E222="","",IFERROR(IF(INDEX(Referensi!$B$5:$B$60,MATCH(E222,Referensi!$A$5:$A$60,0))=D222,"OK","Jenis tidak cocok"),"Kategori tidak dikenal"))</f>
        <v/>
      </c>
    </row>
    <row r="223" ht="15" customHeight="1" s="33">
      <c r="A223" s="57">
        <f>IF(B223="","",ROW()-4)</f>
        <v/>
      </c>
      <c r="B223" s="58" t="n"/>
      <c r="C223" s="38" t="n"/>
      <c r="D223" s="38" t="n"/>
      <c r="E223" s="38" t="n"/>
      <c r="F223" s="57">
        <f>IF(E223="","",IFERROR(INDEX(Referensi!$C$5:$C$60,MATCH(E223,Referensi!$A$5:$A$60,0)),"?"))</f>
        <v/>
      </c>
      <c r="G223" s="38" t="n"/>
      <c r="H223" s="59" t="n"/>
      <c r="I223" s="38" t="n"/>
      <c r="J223" s="39" t="n"/>
      <c r="K223" s="60">
        <f>IF(J223="","",SUMIFS(J$5:J223,D$5:D223,"Masuk")-SUMIFS(J$5:J223,D$5:D223,"Keluar"))</f>
        <v/>
      </c>
      <c r="L223" s="38" t="n"/>
      <c r="M223" s="38" t="n"/>
      <c r="N223" s="57">
        <f>IF(E223="","",IFERROR(IF(INDEX(Referensi!$B$5:$B$60,MATCH(E223,Referensi!$A$5:$A$60,0))=D223,"OK","Jenis tidak cocok"),"Kategori tidak dikenal"))</f>
        <v/>
      </c>
    </row>
    <row r="224" ht="15" customHeight="1" s="33">
      <c r="A224" s="57">
        <f>IF(B224="","",ROW()-4)</f>
        <v/>
      </c>
      <c r="B224" s="58" t="n"/>
      <c r="C224" s="38" t="n"/>
      <c r="D224" s="38" t="n"/>
      <c r="E224" s="38" t="n"/>
      <c r="F224" s="57">
        <f>IF(E224="","",IFERROR(INDEX(Referensi!$C$5:$C$60,MATCH(E224,Referensi!$A$5:$A$60,0)),"?"))</f>
        <v/>
      </c>
      <c r="G224" s="38" t="n"/>
      <c r="H224" s="59" t="n"/>
      <c r="I224" s="38" t="n"/>
      <c r="J224" s="39" t="n"/>
      <c r="K224" s="60">
        <f>IF(J224="","",SUMIFS(J$5:J224,D$5:D224,"Masuk")-SUMIFS(J$5:J224,D$5:D224,"Keluar"))</f>
        <v/>
      </c>
      <c r="L224" s="38" t="n"/>
      <c r="M224" s="38" t="n"/>
      <c r="N224" s="57">
        <f>IF(E224="","",IFERROR(IF(INDEX(Referensi!$B$5:$B$60,MATCH(E224,Referensi!$A$5:$A$60,0))=D224,"OK","Jenis tidak cocok"),"Kategori tidak dikenal"))</f>
        <v/>
      </c>
    </row>
    <row r="225" ht="15" customHeight="1" s="33">
      <c r="A225" s="57">
        <f>IF(B225="","",ROW()-4)</f>
        <v/>
      </c>
      <c r="B225" s="58" t="n"/>
      <c r="C225" s="38" t="n"/>
      <c r="D225" s="38" t="n"/>
      <c r="E225" s="38" t="n"/>
      <c r="F225" s="57">
        <f>IF(E225="","",IFERROR(INDEX(Referensi!$C$5:$C$60,MATCH(E225,Referensi!$A$5:$A$60,0)),"?"))</f>
        <v/>
      </c>
      <c r="G225" s="38" t="n"/>
      <c r="H225" s="59" t="n"/>
      <c r="I225" s="38" t="n"/>
      <c r="J225" s="39" t="n"/>
      <c r="K225" s="60">
        <f>IF(J225="","",SUMIFS(J$5:J225,D$5:D225,"Masuk")-SUMIFS(J$5:J225,D$5:D225,"Keluar"))</f>
        <v/>
      </c>
      <c r="L225" s="38" t="n"/>
      <c r="M225" s="38" t="n"/>
      <c r="N225" s="57">
        <f>IF(E225="","",IFERROR(IF(INDEX(Referensi!$B$5:$B$60,MATCH(E225,Referensi!$A$5:$A$60,0))=D225,"OK","Jenis tidak cocok"),"Kategori tidak dikenal"))</f>
        <v/>
      </c>
    </row>
    <row r="226" ht="15" customHeight="1" s="33">
      <c r="A226" s="57">
        <f>IF(B226="","",ROW()-4)</f>
        <v/>
      </c>
      <c r="B226" s="58" t="n"/>
      <c r="C226" s="38" t="n"/>
      <c r="D226" s="38" t="n"/>
      <c r="E226" s="38" t="n"/>
      <c r="F226" s="57">
        <f>IF(E226="","",IFERROR(INDEX(Referensi!$C$5:$C$60,MATCH(E226,Referensi!$A$5:$A$60,0)),"?"))</f>
        <v/>
      </c>
      <c r="G226" s="38" t="n"/>
      <c r="H226" s="59" t="n"/>
      <c r="I226" s="38" t="n"/>
      <c r="J226" s="39" t="n"/>
      <c r="K226" s="60">
        <f>IF(J226="","",SUMIFS(J$5:J226,D$5:D226,"Masuk")-SUMIFS(J$5:J226,D$5:D226,"Keluar"))</f>
        <v/>
      </c>
      <c r="L226" s="38" t="n"/>
      <c r="M226" s="38" t="n"/>
      <c r="N226" s="57">
        <f>IF(E226="","",IFERROR(IF(INDEX(Referensi!$B$5:$B$60,MATCH(E226,Referensi!$A$5:$A$60,0))=D226,"OK","Jenis tidak cocok"),"Kategori tidak dikenal"))</f>
        <v/>
      </c>
    </row>
    <row r="227" ht="15" customHeight="1" s="33">
      <c r="A227" s="57">
        <f>IF(B227="","",ROW()-4)</f>
        <v/>
      </c>
      <c r="B227" s="58" t="n"/>
      <c r="C227" s="38" t="n"/>
      <c r="D227" s="38" t="n"/>
      <c r="E227" s="38" t="n"/>
      <c r="F227" s="57">
        <f>IF(E227="","",IFERROR(INDEX(Referensi!$C$5:$C$60,MATCH(E227,Referensi!$A$5:$A$60,0)),"?"))</f>
        <v/>
      </c>
      <c r="G227" s="38" t="n"/>
      <c r="H227" s="59" t="n"/>
      <c r="I227" s="38" t="n"/>
      <c r="J227" s="39" t="n"/>
      <c r="K227" s="60">
        <f>IF(J227="","",SUMIFS(J$5:J227,D$5:D227,"Masuk")-SUMIFS(J$5:J227,D$5:D227,"Keluar"))</f>
        <v/>
      </c>
      <c r="L227" s="38" t="n"/>
      <c r="M227" s="38" t="n"/>
      <c r="N227" s="57">
        <f>IF(E227="","",IFERROR(IF(INDEX(Referensi!$B$5:$B$60,MATCH(E227,Referensi!$A$5:$A$60,0))=D227,"OK","Jenis tidak cocok"),"Kategori tidak dikenal"))</f>
        <v/>
      </c>
    </row>
    <row r="228" ht="15" customHeight="1" s="33">
      <c r="A228" s="57">
        <f>IF(B228="","",ROW()-4)</f>
        <v/>
      </c>
      <c r="B228" s="58" t="n"/>
      <c r="C228" s="38" t="n"/>
      <c r="D228" s="38" t="n"/>
      <c r="E228" s="38" t="n"/>
      <c r="F228" s="57">
        <f>IF(E228="","",IFERROR(INDEX(Referensi!$C$5:$C$60,MATCH(E228,Referensi!$A$5:$A$60,0)),"?"))</f>
        <v/>
      </c>
      <c r="G228" s="38" t="n"/>
      <c r="H228" s="59" t="n"/>
      <c r="I228" s="38" t="n"/>
      <c r="J228" s="39" t="n"/>
      <c r="K228" s="60">
        <f>IF(J228="","",SUMIFS(J$5:J228,D$5:D228,"Masuk")-SUMIFS(J$5:J228,D$5:D228,"Keluar"))</f>
        <v/>
      </c>
      <c r="L228" s="38" t="n"/>
      <c r="M228" s="38" t="n"/>
      <c r="N228" s="57">
        <f>IF(E228="","",IFERROR(IF(INDEX(Referensi!$B$5:$B$60,MATCH(E228,Referensi!$A$5:$A$60,0))=D228,"OK","Jenis tidak cocok"),"Kategori tidak dikenal"))</f>
        <v/>
      </c>
    </row>
    <row r="229" ht="15" customHeight="1" s="33">
      <c r="A229" s="57">
        <f>IF(B229="","",ROW()-4)</f>
        <v/>
      </c>
      <c r="B229" s="58" t="n"/>
      <c r="C229" s="38" t="n"/>
      <c r="D229" s="38" t="n"/>
      <c r="E229" s="38" t="n"/>
      <c r="F229" s="57">
        <f>IF(E229="","",IFERROR(INDEX(Referensi!$C$5:$C$60,MATCH(E229,Referensi!$A$5:$A$60,0)),"?"))</f>
        <v/>
      </c>
      <c r="G229" s="38" t="n"/>
      <c r="H229" s="59" t="n"/>
      <c r="I229" s="38" t="n"/>
      <c r="J229" s="39" t="n"/>
      <c r="K229" s="60">
        <f>IF(J229="","",SUMIFS(J$5:J229,D$5:D229,"Masuk")-SUMIFS(J$5:J229,D$5:D229,"Keluar"))</f>
        <v/>
      </c>
      <c r="L229" s="38" t="n"/>
      <c r="M229" s="38" t="n"/>
      <c r="N229" s="57">
        <f>IF(E229="","",IFERROR(IF(INDEX(Referensi!$B$5:$B$60,MATCH(E229,Referensi!$A$5:$A$60,0))=D229,"OK","Jenis tidak cocok"),"Kategori tidak dikenal"))</f>
        <v/>
      </c>
    </row>
    <row r="230" ht="15" customHeight="1" s="33">
      <c r="A230" s="57">
        <f>IF(B230="","",ROW()-4)</f>
        <v/>
      </c>
      <c r="B230" s="58" t="n"/>
      <c r="C230" s="38" t="n"/>
      <c r="D230" s="38" t="n"/>
      <c r="E230" s="38" t="n"/>
      <c r="F230" s="57">
        <f>IF(E230="","",IFERROR(INDEX(Referensi!$C$5:$C$60,MATCH(E230,Referensi!$A$5:$A$60,0)),"?"))</f>
        <v/>
      </c>
      <c r="G230" s="38" t="n"/>
      <c r="H230" s="59" t="n"/>
      <c r="I230" s="38" t="n"/>
      <c r="J230" s="39" t="n"/>
      <c r="K230" s="60">
        <f>IF(J230="","",SUMIFS(J$5:J230,D$5:D230,"Masuk")-SUMIFS(J$5:J230,D$5:D230,"Keluar"))</f>
        <v/>
      </c>
      <c r="L230" s="38" t="n"/>
      <c r="M230" s="38" t="n"/>
      <c r="N230" s="57">
        <f>IF(E230="","",IFERROR(IF(INDEX(Referensi!$B$5:$B$60,MATCH(E230,Referensi!$A$5:$A$60,0))=D230,"OK","Jenis tidak cocok"),"Kategori tidak dikenal"))</f>
        <v/>
      </c>
    </row>
    <row r="231" ht="15" customHeight="1" s="33">
      <c r="A231" s="57">
        <f>IF(B231="","",ROW()-4)</f>
        <v/>
      </c>
      <c r="B231" s="58" t="n"/>
      <c r="C231" s="38" t="n"/>
      <c r="D231" s="38" t="n"/>
      <c r="E231" s="38" t="n"/>
      <c r="F231" s="57">
        <f>IF(E231="","",IFERROR(INDEX(Referensi!$C$5:$C$60,MATCH(E231,Referensi!$A$5:$A$60,0)),"?"))</f>
        <v/>
      </c>
      <c r="G231" s="38" t="n"/>
      <c r="H231" s="59" t="n"/>
      <c r="I231" s="38" t="n"/>
      <c r="J231" s="39" t="n"/>
      <c r="K231" s="60">
        <f>IF(J231="","",SUMIFS(J$5:J231,D$5:D231,"Masuk")-SUMIFS(J$5:J231,D$5:D231,"Keluar"))</f>
        <v/>
      </c>
      <c r="L231" s="38" t="n"/>
      <c r="M231" s="38" t="n"/>
      <c r="N231" s="57">
        <f>IF(E231="","",IFERROR(IF(INDEX(Referensi!$B$5:$B$60,MATCH(E231,Referensi!$A$5:$A$60,0))=D231,"OK","Jenis tidak cocok"),"Kategori tidak dikenal"))</f>
        <v/>
      </c>
    </row>
    <row r="232" ht="15" customHeight="1" s="33">
      <c r="A232" s="57">
        <f>IF(B232="","",ROW()-4)</f>
        <v/>
      </c>
      <c r="B232" s="58" t="n"/>
      <c r="C232" s="38" t="n"/>
      <c r="D232" s="38" t="n"/>
      <c r="E232" s="38" t="n"/>
      <c r="F232" s="57">
        <f>IF(E232="","",IFERROR(INDEX(Referensi!$C$5:$C$60,MATCH(E232,Referensi!$A$5:$A$60,0)),"?"))</f>
        <v/>
      </c>
      <c r="G232" s="38" t="n"/>
      <c r="H232" s="59" t="n"/>
      <c r="I232" s="38" t="n"/>
      <c r="J232" s="39" t="n"/>
      <c r="K232" s="60">
        <f>IF(J232="","",SUMIFS(J$5:J232,D$5:D232,"Masuk")-SUMIFS(J$5:J232,D$5:D232,"Keluar"))</f>
        <v/>
      </c>
      <c r="L232" s="38" t="n"/>
      <c r="M232" s="38" t="n"/>
      <c r="N232" s="57">
        <f>IF(E232="","",IFERROR(IF(INDEX(Referensi!$B$5:$B$60,MATCH(E232,Referensi!$A$5:$A$60,0))=D232,"OK","Jenis tidak cocok"),"Kategori tidak dikenal"))</f>
        <v/>
      </c>
    </row>
    <row r="233" ht="15" customHeight="1" s="33">
      <c r="A233" s="57">
        <f>IF(B233="","",ROW()-4)</f>
        <v/>
      </c>
      <c r="B233" s="58" t="n"/>
      <c r="C233" s="38" t="n"/>
      <c r="D233" s="38" t="n"/>
      <c r="E233" s="38" t="n"/>
      <c r="F233" s="57">
        <f>IF(E233="","",IFERROR(INDEX(Referensi!$C$5:$C$60,MATCH(E233,Referensi!$A$5:$A$60,0)),"?"))</f>
        <v/>
      </c>
      <c r="G233" s="38" t="n"/>
      <c r="H233" s="59" t="n"/>
      <c r="I233" s="38" t="n"/>
      <c r="J233" s="39" t="n"/>
      <c r="K233" s="60">
        <f>IF(J233="","",SUMIFS(J$5:J233,D$5:D233,"Masuk")-SUMIFS(J$5:J233,D$5:D233,"Keluar"))</f>
        <v/>
      </c>
      <c r="L233" s="38" t="n"/>
      <c r="M233" s="38" t="n"/>
      <c r="N233" s="57">
        <f>IF(E233="","",IFERROR(IF(INDEX(Referensi!$B$5:$B$60,MATCH(E233,Referensi!$A$5:$A$60,0))=D233,"OK","Jenis tidak cocok"),"Kategori tidak dikenal"))</f>
        <v/>
      </c>
    </row>
    <row r="234" ht="15" customHeight="1" s="33">
      <c r="A234" s="57">
        <f>IF(B234="","",ROW()-4)</f>
        <v/>
      </c>
      <c r="B234" s="58" t="n"/>
      <c r="C234" s="38" t="n"/>
      <c r="D234" s="38" t="n"/>
      <c r="E234" s="38" t="n"/>
      <c r="F234" s="57">
        <f>IF(E234="","",IFERROR(INDEX(Referensi!$C$5:$C$60,MATCH(E234,Referensi!$A$5:$A$60,0)),"?"))</f>
        <v/>
      </c>
      <c r="G234" s="38" t="n"/>
      <c r="H234" s="59" t="n"/>
      <c r="I234" s="38" t="n"/>
      <c r="J234" s="39" t="n"/>
      <c r="K234" s="60">
        <f>IF(J234="","",SUMIFS(J$5:J234,D$5:D234,"Masuk")-SUMIFS(J$5:J234,D$5:D234,"Keluar"))</f>
        <v/>
      </c>
      <c r="L234" s="38" t="n"/>
      <c r="M234" s="38" t="n"/>
      <c r="N234" s="57">
        <f>IF(E234="","",IFERROR(IF(INDEX(Referensi!$B$5:$B$60,MATCH(E234,Referensi!$A$5:$A$60,0))=D234,"OK","Jenis tidak cocok"),"Kategori tidak dikenal"))</f>
        <v/>
      </c>
    </row>
    <row r="235" ht="15" customHeight="1" s="33">
      <c r="A235" s="57">
        <f>IF(B235="","",ROW()-4)</f>
        <v/>
      </c>
      <c r="B235" s="58" t="n"/>
      <c r="C235" s="38" t="n"/>
      <c r="D235" s="38" t="n"/>
      <c r="E235" s="38" t="n"/>
      <c r="F235" s="57">
        <f>IF(E235="","",IFERROR(INDEX(Referensi!$C$5:$C$60,MATCH(E235,Referensi!$A$5:$A$60,0)),"?"))</f>
        <v/>
      </c>
      <c r="G235" s="38" t="n"/>
      <c r="H235" s="59" t="n"/>
      <c r="I235" s="38" t="n"/>
      <c r="J235" s="39" t="n"/>
      <c r="K235" s="60">
        <f>IF(J235="","",SUMIFS(J$5:J235,D$5:D235,"Masuk")-SUMIFS(J$5:J235,D$5:D235,"Keluar"))</f>
        <v/>
      </c>
      <c r="L235" s="38" t="n"/>
      <c r="M235" s="38" t="n"/>
      <c r="N235" s="57">
        <f>IF(E235="","",IFERROR(IF(INDEX(Referensi!$B$5:$B$60,MATCH(E235,Referensi!$A$5:$A$60,0))=D235,"OK","Jenis tidak cocok"),"Kategori tidak dikenal"))</f>
        <v/>
      </c>
    </row>
    <row r="236" ht="15" customHeight="1" s="33">
      <c r="A236" s="57">
        <f>IF(B236="","",ROW()-4)</f>
        <v/>
      </c>
      <c r="B236" s="58" t="n"/>
      <c r="C236" s="38" t="n"/>
      <c r="D236" s="38" t="n"/>
      <c r="E236" s="38" t="n"/>
      <c r="F236" s="57">
        <f>IF(E236="","",IFERROR(INDEX(Referensi!$C$5:$C$60,MATCH(E236,Referensi!$A$5:$A$60,0)),"?"))</f>
        <v/>
      </c>
      <c r="G236" s="38" t="n"/>
      <c r="H236" s="59" t="n"/>
      <c r="I236" s="38" t="n"/>
      <c r="J236" s="39" t="n"/>
      <c r="K236" s="60">
        <f>IF(J236="","",SUMIFS(J$5:J236,D$5:D236,"Masuk")-SUMIFS(J$5:J236,D$5:D236,"Keluar"))</f>
        <v/>
      </c>
      <c r="L236" s="38" t="n"/>
      <c r="M236" s="38" t="n"/>
      <c r="N236" s="57">
        <f>IF(E236="","",IFERROR(IF(INDEX(Referensi!$B$5:$B$60,MATCH(E236,Referensi!$A$5:$A$60,0))=D236,"OK","Jenis tidak cocok"),"Kategori tidak dikenal"))</f>
        <v/>
      </c>
    </row>
    <row r="237" ht="15" customHeight="1" s="33">
      <c r="A237" s="57">
        <f>IF(B237="","",ROW()-4)</f>
        <v/>
      </c>
      <c r="B237" s="58" t="n"/>
      <c r="C237" s="38" t="n"/>
      <c r="D237" s="38" t="n"/>
      <c r="E237" s="38" t="n"/>
      <c r="F237" s="57">
        <f>IF(E237="","",IFERROR(INDEX(Referensi!$C$5:$C$60,MATCH(E237,Referensi!$A$5:$A$60,0)),"?"))</f>
        <v/>
      </c>
      <c r="G237" s="38" t="n"/>
      <c r="H237" s="59" t="n"/>
      <c r="I237" s="38" t="n"/>
      <c r="J237" s="39" t="n"/>
      <c r="K237" s="60">
        <f>IF(J237="","",SUMIFS(J$5:J237,D$5:D237,"Masuk")-SUMIFS(J$5:J237,D$5:D237,"Keluar"))</f>
        <v/>
      </c>
      <c r="L237" s="38" t="n"/>
      <c r="M237" s="38" t="n"/>
      <c r="N237" s="57">
        <f>IF(E237="","",IFERROR(IF(INDEX(Referensi!$B$5:$B$60,MATCH(E237,Referensi!$A$5:$A$60,0))=D237,"OK","Jenis tidak cocok"),"Kategori tidak dikenal"))</f>
        <v/>
      </c>
    </row>
    <row r="238" ht="15" customHeight="1" s="33">
      <c r="A238" s="57">
        <f>IF(B238="","",ROW()-4)</f>
        <v/>
      </c>
      <c r="B238" s="58" t="n"/>
      <c r="C238" s="38" t="n"/>
      <c r="D238" s="38" t="n"/>
      <c r="E238" s="38" t="n"/>
      <c r="F238" s="57">
        <f>IF(E238="","",IFERROR(INDEX(Referensi!$C$5:$C$60,MATCH(E238,Referensi!$A$5:$A$60,0)),"?"))</f>
        <v/>
      </c>
      <c r="G238" s="38" t="n"/>
      <c r="H238" s="59" t="n"/>
      <c r="I238" s="38" t="n"/>
      <c r="J238" s="39" t="n"/>
      <c r="K238" s="60">
        <f>IF(J238="","",SUMIFS(J$5:J238,D$5:D238,"Masuk")-SUMIFS(J$5:J238,D$5:D238,"Keluar"))</f>
        <v/>
      </c>
      <c r="L238" s="38" t="n"/>
      <c r="M238" s="38" t="n"/>
      <c r="N238" s="57">
        <f>IF(E238="","",IFERROR(IF(INDEX(Referensi!$B$5:$B$60,MATCH(E238,Referensi!$A$5:$A$60,0))=D238,"OK","Jenis tidak cocok"),"Kategori tidak dikenal"))</f>
        <v/>
      </c>
    </row>
    <row r="239" ht="15" customHeight="1" s="33">
      <c r="A239" s="57">
        <f>IF(B239="","",ROW()-4)</f>
        <v/>
      </c>
      <c r="B239" s="58" t="n"/>
      <c r="C239" s="38" t="n"/>
      <c r="D239" s="38" t="n"/>
      <c r="E239" s="38" t="n"/>
      <c r="F239" s="57">
        <f>IF(E239="","",IFERROR(INDEX(Referensi!$C$5:$C$60,MATCH(E239,Referensi!$A$5:$A$60,0)),"?"))</f>
        <v/>
      </c>
      <c r="G239" s="38" t="n"/>
      <c r="H239" s="59" t="n"/>
      <c r="I239" s="38" t="n"/>
      <c r="J239" s="39" t="n"/>
      <c r="K239" s="60">
        <f>IF(J239="","",SUMIFS(J$5:J239,D$5:D239,"Masuk")-SUMIFS(J$5:J239,D$5:D239,"Keluar"))</f>
        <v/>
      </c>
      <c r="L239" s="38" t="n"/>
      <c r="M239" s="38" t="n"/>
      <c r="N239" s="57">
        <f>IF(E239="","",IFERROR(IF(INDEX(Referensi!$B$5:$B$60,MATCH(E239,Referensi!$A$5:$A$60,0))=D239,"OK","Jenis tidak cocok"),"Kategori tidak dikenal"))</f>
        <v/>
      </c>
    </row>
    <row r="240" ht="15" customHeight="1" s="33">
      <c r="A240" s="57">
        <f>IF(B240="","",ROW()-4)</f>
        <v/>
      </c>
      <c r="B240" s="58" t="n"/>
      <c r="C240" s="38" t="n"/>
      <c r="D240" s="38" t="n"/>
      <c r="E240" s="38" t="n"/>
      <c r="F240" s="57">
        <f>IF(E240="","",IFERROR(INDEX(Referensi!$C$5:$C$60,MATCH(E240,Referensi!$A$5:$A$60,0)),"?"))</f>
        <v/>
      </c>
      <c r="G240" s="38" t="n"/>
      <c r="H240" s="59" t="n"/>
      <c r="I240" s="38" t="n"/>
      <c r="J240" s="39" t="n"/>
      <c r="K240" s="60">
        <f>IF(J240="","",SUMIFS(J$5:J240,D$5:D240,"Masuk")-SUMIFS(J$5:J240,D$5:D240,"Keluar"))</f>
        <v/>
      </c>
      <c r="L240" s="38" t="n"/>
      <c r="M240" s="38" t="n"/>
      <c r="N240" s="57">
        <f>IF(E240="","",IFERROR(IF(INDEX(Referensi!$B$5:$B$60,MATCH(E240,Referensi!$A$5:$A$60,0))=D240,"OK","Jenis tidak cocok"),"Kategori tidak dikenal"))</f>
        <v/>
      </c>
    </row>
    <row r="241" ht="15" customHeight="1" s="33">
      <c r="A241" s="57">
        <f>IF(B241="","",ROW()-4)</f>
        <v/>
      </c>
      <c r="B241" s="58" t="n"/>
      <c r="C241" s="38" t="n"/>
      <c r="D241" s="38" t="n"/>
      <c r="E241" s="38" t="n"/>
      <c r="F241" s="57">
        <f>IF(E241="","",IFERROR(INDEX(Referensi!$C$5:$C$60,MATCH(E241,Referensi!$A$5:$A$60,0)),"?"))</f>
        <v/>
      </c>
      <c r="G241" s="38" t="n"/>
      <c r="H241" s="59" t="n"/>
      <c r="I241" s="38" t="n"/>
      <c r="J241" s="39" t="n"/>
      <c r="K241" s="60">
        <f>IF(J241="","",SUMIFS(J$5:J241,D$5:D241,"Masuk")-SUMIFS(J$5:J241,D$5:D241,"Keluar"))</f>
        <v/>
      </c>
      <c r="L241" s="38" t="n"/>
      <c r="M241" s="38" t="n"/>
      <c r="N241" s="57">
        <f>IF(E241="","",IFERROR(IF(INDEX(Referensi!$B$5:$B$60,MATCH(E241,Referensi!$A$5:$A$60,0))=D241,"OK","Jenis tidak cocok"),"Kategori tidak dikenal"))</f>
        <v/>
      </c>
    </row>
    <row r="242" ht="15" customHeight="1" s="33">
      <c r="A242" s="57">
        <f>IF(B242="","",ROW()-4)</f>
        <v/>
      </c>
      <c r="B242" s="58" t="n"/>
      <c r="C242" s="38" t="n"/>
      <c r="D242" s="38" t="n"/>
      <c r="E242" s="38" t="n"/>
      <c r="F242" s="57">
        <f>IF(E242="","",IFERROR(INDEX(Referensi!$C$5:$C$60,MATCH(E242,Referensi!$A$5:$A$60,0)),"?"))</f>
        <v/>
      </c>
      <c r="G242" s="38" t="n"/>
      <c r="H242" s="59" t="n"/>
      <c r="I242" s="38" t="n"/>
      <c r="J242" s="39" t="n"/>
      <c r="K242" s="60">
        <f>IF(J242="","",SUMIFS(J$5:J242,D$5:D242,"Masuk")-SUMIFS(J$5:J242,D$5:D242,"Keluar"))</f>
        <v/>
      </c>
      <c r="L242" s="38" t="n"/>
      <c r="M242" s="38" t="n"/>
      <c r="N242" s="57">
        <f>IF(E242="","",IFERROR(IF(INDEX(Referensi!$B$5:$B$60,MATCH(E242,Referensi!$A$5:$A$60,0))=D242,"OK","Jenis tidak cocok"),"Kategori tidak dikenal"))</f>
        <v/>
      </c>
    </row>
    <row r="243" ht="15" customHeight="1" s="33">
      <c r="A243" s="57">
        <f>IF(B243="","",ROW()-4)</f>
        <v/>
      </c>
      <c r="B243" s="58" t="n"/>
      <c r="C243" s="38" t="n"/>
      <c r="D243" s="38" t="n"/>
      <c r="E243" s="38" t="n"/>
      <c r="F243" s="57">
        <f>IF(E243="","",IFERROR(INDEX(Referensi!$C$5:$C$60,MATCH(E243,Referensi!$A$5:$A$60,0)),"?"))</f>
        <v/>
      </c>
      <c r="G243" s="38" t="n"/>
      <c r="H243" s="59" t="n"/>
      <c r="I243" s="38" t="n"/>
      <c r="J243" s="39" t="n"/>
      <c r="K243" s="60">
        <f>IF(J243="","",SUMIFS(J$5:J243,D$5:D243,"Masuk")-SUMIFS(J$5:J243,D$5:D243,"Keluar"))</f>
        <v/>
      </c>
      <c r="L243" s="38" t="n"/>
      <c r="M243" s="38" t="n"/>
      <c r="N243" s="57">
        <f>IF(E243="","",IFERROR(IF(INDEX(Referensi!$B$5:$B$60,MATCH(E243,Referensi!$A$5:$A$60,0))=D243,"OK","Jenis tidak cocok"),"Kategori tidak dikenal"))</f>
        <v/>
      </c>
    </row>
    <row r="244" ht="15" customHeight="1" s="33">
      <c r="A244" s="57">
        <f>IF(B244="","",ROW()-4)</f>
        <v/>
      </c>
      <c r="B244" s="58" t="n"/>
      <c r="C244" s="38" t="n"/>
      <c r="D244" s="38" t="n"/>
      <c r="E244" s="38" t="n"/>
      <c r="F244" s="57">
        <f>IF(E244="","",IFERROR(INDEX(Referensi!$C$5:$C$60,MATCH(E244,Referensi!$A$5:$A$60,0)),"?"))</f>
        <v/>
      </c>
      <c r="G244" s="38" t="n"/>
      <c r="H244" s="59" t="n"/>
      <c r="I244" s="38" t="n"/>
      <c r="J244" s="39" t="n"/>
      <c r="K244" s="60">
        <f>IF(J244="","",SUMIFS(J$5:J244,D$5:D244,"Masuk")-SUMIFS(J$5:J244,D$5:D244,"Keluar"))</f>
        <v/>
      </c>
      <c r="L244" s="38" t="n"/>
      <c r="M244" s="38" t="n"/>
      <c r="N244" s="57">
        <f>IF(E244="","",IFERROR(IF(INDEX(Referensi!$B$5:$B$60,MATCH(E244,Referensi!$A$5:$A$60,0))=D244,"OK","Jenis tidak cocok"),"Kategori tidak dikenal"))</f>
        <v/>
      </c>
    </row>
    <row r="245" ht="15" customHeight="1" s="33">
      <c r="A245" s="57">
        <f>IF(B245="","",ROW()-4)</f>
        <v/>
      </c>
      <c r="B245" s="58" t="n"/>
      <c r="C245" s="38" t="n"/>
      <c r="D245" s="38" t="n"/>
      <c r="E245" s="38" t="n"/>
      <c r="F245" s="57">
        <f>IF(E245="","",IFERROR(INDEX(Referensi!$C$5:$C$60,MATCH(E245,Referensi!$A$5:$A$60,0)),"?"))</f>
        <v/>
      </c>
      <c r="G245" s="38" t="n"/>
      <c r="H245" s="59" t="n"/>
      <c r="I245" s="38" t="n"/>
      <c r="J245" s="39" t="n"/>
      <c r="K245" s="60">
        <f>IF(J245="","",SUMIFS(J$5:J245,D$5:D245,"Masuk")-SUMIFS(J$5:J245,D$5:D245,"Keluar"))</f>
        <v/>
      </c>
      <c r="L245" s="38" t="n"/>
      <c r="M245" s="38" t="n"/>
      <c r="N245" s="57">
        <f>IF(E245="","",IFERROR(IF(INDEX(Referensi!$B$5:$B$60,MATCH(E245,Referensi!$A$5:$A$60,0))=D245,"OK","Jenis tidak cocok"),"Kategori tidak dikenal"))</f>
        <v/>
      </c>
    </row>
    <row r="246" ht="15" customHeight="1" s="33">
      <c r="A246" s="57">
        <f>IF(B246="","",ROW()-4)</f>
        <v/>
      </c>
      <c r="B246" s="58" t="n"/>
      <c r="C246" s="38" t="n"/>
      <c r="D246" s="38" t="n"/>
      <c r="E246" s="38" t="n"/>
      <c r="F246" s="57">
        <f>IF(E246="","",IFERROR(INDEX(Referensi!$C$5:$C$60,MATCH(E246,Referensi!$A$5:$A$60,0)),"?"))</f>
        <v/>
      </c>
      <c r="G246" s="38" t="n"/>
      <c r="H246" s="59" t="n"/>
      <c r="I246" s="38" t="n"/>
      <c r="J246" s="39" t="n"/>
      <c r="K246" s="60">
        <f>IF(J246="","",SUMIFS(J$5:J246,D$5:D246,"Masuk")-SUMIFS(J$5:J246,D$5:D246,"Keluar"))</f>
        <v/>
      </c>
      <c r="L246" s="38" t="n"/>
      <c r="M246" s="38" t="n"/>
      <c r="N246" s="57">
        <f>IF(E246="","",IFERROR(IF(INDEX(Referensi!$B$5:$B$60,MATCH(E246,Referensi!$A$5:$A$60,0))=D246,"OK","Jenis tidak cocok"),"Kategori tidak dikenal"))</f>
        <v/>
      </c>
    </row>
    <row r="247" ht="15" customHeight="1" s="33">
      <c r="A247" s="57">
        <f>IF(B247="","",ROW()-4)</f>
        <v/>
      </c>
      <c r="B247" s="58" t="n"/>
      <c r="C247" s="38" t="n"/>
      <c r="D247" s="38" t="n"/>
      <c r="E247" s="38" t="n"/>
      <c r="F247" s="57">
        <f>IF(E247="","",IFERROR(INDEX(Referensi!$C$5:$C$60,MATCH(E247,Referensi!$A$5:$A$60,0)),"?"))</f>
        <v/>
      </c>
      <c r="G247" s="38" t="n"/>
      <c r="H247" s="59" t="n"/>
      <c r="I247" s="38" t="n"/>
      <c r="J247" s="39" t="n"/>
      <c r="K247" s="60">
        <f>IF(J247="","",SUMIFS(J$5:J247,D$5:D247,"Masuk")-SUMIFS(J$5:J247,D$5:D247,"Keluar"))</f>
        <v/>
      </c>
      <c r="L247" s="38" t="n"/>
      <c r="M247" s="38" t="n"/>
      <c r="N247" s="57">
        <f>IF(E247="","",IFERROR(IF(INDEX(Referensi!$B$5:$B$60,MATCH(E247,Referensi!$A$5:$A$60,0))=D247,"OK","Jenis tidak cocok"),"Kategori tidak dikenal"))</f>
        <v/>
      </c>
    </row>
    <row r="248" ht="15" customHeight="1" s="33">
      <c r="A248" s="57">
        <f>IF(B248="","",ROW()-4)</f>
        <v/>
      </c>
      <c r="B248" s="58" t="n"/>
      <c r="C248" s="38" t="n"/>
      <c r="D248" s="38" t="n"/>
      <c r="E248" s="38" t="n"/>
      <c r="F248" s="57">
        <f>IF(E248="","",IFERROR(INDEX(Referensi!$C$5:$C$60,MATCH(E248,Referensi!$A$5:$A$60,0)),"?"))</f>
        <v/>
      </c>
      <c r="G248" s="38" t="n"/>
      <c r="H248" s="59" t="n"/>
      <c r="I248" s="38" t="n"/>
      <c r="J248" s="39" t="n"/>
      <c r="K248" s="60">
        <f>IF(J248="","",SUMIFS(J$5:J248,D$5:D248,"Masuk")-SUMIFS(J$5:J248,D$5:D248,"Keluar"))</f>
        <v/>
      </c>
      <c r="L248" s="38" t="n"/>
      <c r="M248" s="38" t="n"/>
      <c r="N248" s="57">
        <f>IF(E248="","",IFERROR(IF(INDEX(Referensi!$B$5:$B$60,MATCH(E248,Referensi!$A$5:$A$60,0))=D248,"OK","Jenis tidak cocok"),"Kategori tidak dikenal"))</f>
        <v/>
      </c>
    </row>
    <row r="249" ht="15" customHeight="1" s="33">
      <c r="A249" s="57">
        <f>IF(B249="","",ROW()-4)</f>
        <v/>
      </c>
      <c r="B249" s="58" t="n"/>
      <c r="C249" s="38" t="n"/>
      <c r="D249" s="38" t="n"/>
      <c r="E249" s="38" t="n"/>
      <c r="F249" s="57">
        <f>IF(E249="","",IFERROR(INDEX(Referensi!$C$5:$C$60,MATCH(E249,Referensi!$A$5:$A$60,0)),"?"))</f>
        <v/>
      </c>
      <c r="G249" s="38" t="n"/>
      <c r="H249" s="59" t="n"/>
      <c r="I249" s="38" t="n"/>
      <c r="J249" s="39" t="n"/>
      <c r="K249" s="60">
        <f>IF(J249="","",SUMIFS(J$5:J249,D$5:D249,"Masuk")-SUMIFS(J$5:J249,D$5:D249,"Keluar"))</f>
        <v/>
      </c>
      <c r="L249" s="38" t="n"/>
      <c r="M249" s="38" t="n"/>
      <c r="N249" s="57">
        <f>IF(E249="","",IFERROR(IF(INDEX(Referensi!$B$5:$B$60,MATCH(E249,Referensi!$A$5:$A$60,0))=D249,"OK","Jenis tidak cocok"),"Kategori tidak dikenal"))</f>
        <v/>
      </c>
    </row>
    <row r="250" ht="15" customHeight="1" s="33">
      <c r="A250" s="57">
        <f>IF(B250="","",ROW()-4)</f>
        <v/>
      </c>
      <c r="B250" s="58" t="n"/>
      <c r="C250" s="38" t="n"/>
      <c r="D250" s="38" t="n"/>
      <c r="E250" s="38" t="n"/>
      <c r="F250" s="57">
        <f>IF(E250="","",IFERROR(INDEX(Referensi!$C$5:$C$60,MATCH(E250,Referensi!$A$5:$A$60,0)),"?"))</f>
        <v/>
      </c>
      <c r="G250" s="38" t="n"/>
      <c r="H250" s="59" t="n"/>
      <c r="I250" s="38" t="n"/>
      <c r="J250" s="39" t="n"/>
      <c r="K250" s="60">
        <f>IF(J250="","",SUMIFS(J$5:J250,D$5:D250,"Masuk")-SUMIFS(J$5:J250,D$5:D250,"Keluar"))</f>
        <v/>
      </c>
      <c r="L250" s="38" t="n"/>
      <c r="M250" s="38" t="n"/>
      <c r="N250" s="57">
        <f>IF(E250="","",IFERROR(IF(INDEX(Referensi!$B$5:$B$60,MATCH(E250,Referensi!$A$5:$A$60,0))=D250,"OK","Jenis tidak cocok"),"Kategori tidak dikenal"))</f>
        <v/>
      </c>
    </row>
    <row r="251" ht="15" customHeight="1" s="33">
      <c r="A251" s="57">
        <f>IF(B251="","",ROW()-4)</f>
        <v/>
      </c>
      <c r="B251" s="58" t="n"/>
      <c r="C251" s="38" t="n"/>
      <c r="D251" s="38" t="n"/>
      <c r="E251" s="38" t="n"/>
      <c r="F251" s="57">
        <f>IF(E251="","",IFERROR(INDEX(Referensi!$C$5:$C$60,MATCH(E251,Referensi!$A$5:$A$60,0)),"?"))</f>
        <v/>
      </c>
      <c r="G251" s="38" t="n"/>
      <c r="H251" s="59" t="n"/>
      <c r="I251" s="38" t="n"/>
      <c r="J251" s="39" t="n"/>
      <c r="K251" s="60">
        <f>IF(J251="","",SUMIFS(J$5:J251,D$5:D251,"Masuk")-SUMIFS(J$5:J251,D$5:D251,"Keluar"))</f>
        <v/>
      </c>
      <c r="L251" s="38" t="n"/>
      <c r="M251" s="38" t="n"/>
      <c r="N251" s="57">
        <f>IF(E251="","",IFERROR(IF(INDEX(Referensi!$B$5:$B$60,MATCH(E251,Referensi!$A$5:$A$60,0))=D251,"OK","Jenis tidak cocok"),"Kategori tidak dikenal"))</f>
        <v/>
      </c>
    </row>
    <row r="252" ht="15" customHeight="1" s="33">
      <c r="A252" s="57">
        <f>IF(B252="","",ROW()-4)</f>
        <v/>
      </c>
      <c r="B252" s="58" t="n"/>
      <c r="C252" s="38" t="n"/>
      <c r="D252" s="38" t="n"/>
      <c r="E252" s="38" t="n"/>
      <c r="F252" s="57">
        <f>IF(E252="","",IFERROR(INDEX(Referensi!$C$5:$C$60,MATCH(E252,Referensi!$A$5:$A$60,0)),"?"))</f>
        <v/>
      </c>
      <c r="G252" s="38" t="n"/>
      <c r="H252" s="59" t="n"/>
      <c r="I252" s="38" t="n"/>
      <c r="J252" s="39" t="n"/>
      <c r="K252" s="60">
        <f>IF(J252="","",SUMIFS(J$5:J252,D$5:D252,"Masuk")-SUMIFS(J$5:J252,D$5:D252,"Keluar"))</f>
        <v/>
      </c>
      <c r="L252" s="38" t="n"/>
      <c r="M252" s="38" t="n"/>
      <c r="N252" s="57">
        <f>IF(E252="","",IFERROR(IF(INDEX(Referensi!$B$5:$B$60,MATCH(E252,Referensi!$A$5:$A$60,0))=D252,"OK","Jenis tidak cocok"),"Kategori tidak dikenal"))</f>
        <v/>
      </c>
    </row>
    <row r="253" ht="15" customHeight="1" s="33">
      <c r="A253" s="57">
        <f>IF(B253="","",ROW()-4)</f>
        <v/>
      </c>
      <c r="B253" s="58" t="n"/>
      <c r="C253" s="38" t="n"/>
      <c r="D253" s="38" t="n"/>
      <c r="E253" s="38" t="n"/>
      <c r="F253" s="57">
        <f>IF(E253="","",IFERROR(INDEX(Referensi!$C$5:$C$60,MATCH(E253,Referensi!$A$5:$A$60,0)),"?"))</f>
        <v/>
      </c>
      <c r="G253" s="38" t="n"/>
      <c r="H253" s="59" t="n"/>
      <c r="I253" s="38" t="n"/>
      <c r="J253" s="39" t="n"/>
      <c r="K253" s="60">
        <f>IF(J253="","",SUMIFS(J$5:J253,D$5:D253,"Masuk")-SUMIFS(J$5:J253,D$5:D253,"Keluar"))</f>
        <v/>
      </c>
      <c r="L253" s="38" t="n"/>
      <c r="M253" s="38" t="n"/>
      <c r="N253" s="57">
        <f>IF(E253="","",IFERROR(IF(INDEX(Referensi!$B$5:$B$60,MATCH(E253,Referensi!$A$5:$A$60,0))=D253,"OK","Jenis tidak cocok"),"Kategori tidak dikenal"))</f>
        <v/>
      </c>
    </row>
    <row r="254" ht="15" customHeight="1" s="33">
      <c r="A254" s="57">
        <f>IF(B254="","",ROW()-4)</f>
        <v/>
      </c>
      <c r="B254" s="58" t="n"/>
      <c r="C254" s="38" t="n"/>
      <c r="D254" s="38" t="n"/>
      <c r="E254" s="38" t="n"/>
      <c r="F254" s="57">
        <f>IF(E254="","",IFERROR(INDEX(Referensi!$C$5:$C$60,MATCH(E254,Referensi!$A$5:$A$60,0)),"?"))</f>
        <v/>
      </c>
      <c r="G254" s="38" t="n"/>
      <c r="H254" s="59" t="n"/>
      <c r="I254" s="38" t="n"/>
      <c r="J254" s="39" t="n"/>
      <c r="K254" s="60">
        <f>IF(J254="","",SUMIFS(J$5:J254,D$5:D254,"Masuk")-SUMIFS(J$5:J254,D$5:D254,"Keluar"))</f>
        <v/>
      </c>
      <c r="L254" s="38" t="n"/>
      <c r="M254" s="38" t="n"/>
      <c r="N254" s="57">
        <f>IF(E254="","",IFERROR(IF(INDEX(Referensi!$B$5:$B$60,MATCH(E254,Referensi!$A$5:$A$60,0))=D254,"OK","Jenis tidak cocok"),"Kategori tidak dikenal"))</f>
        <v/>
      </c>
    </row>
    <row r="255" ht="15" customHeight="1" s="33">
      <c r="A255" s="57">
        <f>IF(B255="","",ROW()-4)</f>
        <v/>
      </c>
      <c r="B255" s="58" t="n"/>
      <c r="C255" s="38" t="n"/>
      <c r="D255" s="38" t="n"/>
      <c r="E255" s="38" t="n"/>
      <c r="F255" s="57">
        <f>IF(E255="","",IFERROR(INDEX(Referensi!$C$5:$C$60,MATCH(E255,Referensi!$A$5:$A$60,0)),"?"))</f>
        <v/>
      </c>
      <c r="G255" s="38" t="n"/>
      <c r="H255" s="59" t="n"/>
      <c r="I255" s="38" t="n"/>
      <c r="J255" s="39" t="n"/>
      <c r="K255" s="60">
        <f>IF(J255="","",SUMIFS(J$5:J255,D$5:D255,"Masuk")-SUMIFS(J$5:J255,D$5:D255,"Keluar"))</f>
        <v/>
      </c>
      <c r="L255" s="38" t="n"/>
      <c r="M255" s="38" t="n"/>
      <c r="N255" s="57">
        <f>IF(E255="","",IFERROR(IF(INDEX(Referensi!$B$5:$B$60,MATCH(E255,Referensi!$A$5:$A$60,0))=D255,"OK","Jenis tidak cocok"),"Kategori tidak dikenal"))</f>
        <v/>
      </c>
    </row>
    <row r="256" ht="15" customHeight="1" s="33">
      <c r="A256" s="57">
        <f>IF(B256="","",ROW()-4)</f>
        <v/>
      </c>
      <c r="B256" s="58" t="n"/>
      <c r="C256" s="38" t="n"/>
      <c r="D256" s="38" t="n"/>
      <c r="E256" s="38" t="n"/>
      <c r="F256" s="57">
        <f>IF(E256="","",IFERROR(INDEX(Referensi!$C$5:$C$60,MATCH(E256,Referensi!$A$5:$A$60,0)),"?"))</f>
        <v/>
      </c>
      <c r="G256" s="38" t="n"/>
      <c r="H256" s="59" t="n"/>
      <c r="I256" s="38" t="n"/>
      <c r="J256" s="39" t="n"/>
      <c r="K256" s="60">
        <f>IF(J256="","",SUMIFS(J$5:J256,D$5:D256,"Masuk")-SUMIFS(J$5:J256,D$5:D256,"Keluar"))</f>
        <v/>
      </c>
      <c r="L256" s="38" t="n"/>
      <c r="M256" s="38" t="n"/>
      <c r="N256" s="57">
        <f>IF(E256="","",IFERROR(IF(INDEX(Referensi!$B$5:$B$60,MATCH(E256,Referensi!$A$5:$A$60,0))=D256,"OK","Jenis tidak cocok"),"Kategori tidak dikenal"))</f>
        <v/>
      </c>
    </row>
    <row r="257" ht="15" customHeight="1" s="33">
      <c r="A257" s="57">
        <f>IF(B257="","",ROW()-4)</f>
        <v/>
      </c>
      <c r="B257" s="58" t="n"/>
      <c r="C257" s="38" t="n"/>
      <c r="D257" s="38" t="n"/>
      <c r="E257" s="38" t="n"/>
      <c r="F257" s="57">
        <f>IF(E257="","",IFERROR(INDEX(Referensi!$C$5:$C$60,MATCH(E257,Referensi!$A$5:$A$60,0)),"?"))</f>
        <v/>
      </c>
      <c r="G257" s="38" t="n"/>
      <c r="H257" s="59" t="n"/>
      <c r="I257" s="38" t="n"/>
      <c r="J257" s="39" t="n"/>
      <c r="K257" s="60">
        <f>IF(J257="","",SUMIFS(J$5:J257,D$5:D257,"Masuk")-SUMIFS(J$5:J257,D$5:D257,"Keluar"))</f>
        <v/>
      </c>
      <c r="L257" s="38" t="n"/>
      <c r="M257" s="38" t="n"/>
      <c r="N257" s="57">
        <f>IF(E257="","",IFERROR(IF(INDEX(Referensi!$B$5:$B$60,MATCH(E257,Referensi!$A$5:$A$60,0))=D257,"OK","Jenis tidak cocok"),"Kategori tidak dikenal"))</f>
        <v/>
      </c>
    </row>
    <row r="258" ht="15" customHeight="1" s="33">
      <c r="A258" s="57">
        <f>IF(B258="","",ROW()-4)</f>
        <v/>
      </c>
      <c r="B258" s="58" t="n"/>
      <c r="C258" s="38" t="n"/>
      <c r="D258" s="38" t="n"/>
      <c r="E258" s="38" t="n"/>
      <c r="F258" s="57">
        <f>IF(E258="","",IFERROR(INDEX(Referensi!$C$5:$C$60,MATCH(E258,Referensi!$A$5:$A$60,0)),"?"))</f>
        <v/>
      </c>
      <c r="G258" s="38" t="n"/>
      <c r="H258" s="59" t="n"/>
      <c r="I258" s="38" t="n"/>
      <c r="J258" s="39" t="n"/>
      <c r="K258" s="60">
        <f>IF(J258="","",SUMIFS(J$5:J258,D$5:D258,"Masuk")-SUMIFS(J$5:J258,D$5:D258,"Keluar"))</f>
        <v/>
      </c>
      <c r="L258" s="38" t="n"/>
      <c r="M258" s="38" t="n"/>
      <c r="N258" s="57">
        <f>IF(E258="","",IFERROR(IF(INDEX(Referensi!$B$5:$B$60,MATCH(E258,Referensi!$A$5:$A$60,0))=D258,"OK","Jenis tidak cocok"),"Kategori tidak dikenal"))</f>
        <v/>
      </c>
    </row>
    <row r="259" ht="15" customHeight="1" s="33">
      <c r="A259" s="57">
        <f>IF(B259="","",ROW()-4)</f>
        <v/>
      </c>
      <c r="B259" s="58" t="n"/>
      <c r="C259" s="38" t="n"/>
      <c r="D259" s="38" t="n"/>
      <c r="E259" s="38" t="n"/>
      <c r="F259" s="57">
        <f>IF(E259="","",IFERROR(INDEX(Referensi!$C$5:$C$60,MATCH(E259,Referensi!$A$5:$A$60,0)),"?"))</f>
        <v/>
      </c>
      <c r="G259" s="38" t="n"/>
      <c r="H259" s="59" t="n"/>
      <c r="I259" s="38" t="n"/>
      <c r="J259" s="39" t="n"/>
      <c r="K259" s="60">
        <f>IF(J259="","",SUMIFS(J$5:J259,D$5:D259,"Masuk")-SUMIFS(J$5:J259,D$5:D259,"Keluar"))</f>
        <v/>
      </c>
      <c r="L259" s="38" t="n"/>
      <c r="M259" s="38" t="n"/>
      <c r="N259" s="57">
        <f>IF(E259="","",IFERROR(IF(INDEX(Referensi!$B$5:$B$60,MATCH(E259,Referensi!$A$5:$A$60,0))=D259,"OK","Jenis tidak cocok"),"Kategori tidak dikenal"))</f>
        <v/>
      </c>
    </row>
    <row r="260" ht="15" customHeight="1" s="33">
      <c r="A260" s="57">
        <f>IF(B260="","",ROW()-4)</f>
        <v/>
      </c>
      <c r="B260" s="58" t="n"/>
      <c r="C260" s="38" t="n"/>
      <c r="D260" s="38" t="n"/>
      <c r="E260" s="38" t="n"/>
      <c r="F260" s="57">
        <f>IF(E260="","",IFERROR(INDEX(Referensi!$C$5:$C$60,MATCH(E260,Referensi!$A$5:$A$60,0)),"?"))</f>
        <v/>
      </c>
      <c r="G260" s="38" t="n"/>
      <c r="H260" s="59" t="n"/>
      <c r="I260" s="38" t="n"/>
      <c r="J260" s="39" t="n"/>
      <c r="K260" s="60">
        <f>IF(J260="","",SUMIFS(J$5:J260,D$5:D260,"Masuk")-SUMIFS(J$5:J260,D$5:D260,"Keluar"))</f>
        <v/>
      </c>
      <c r="L260" s="38" t="n"/>
      <c r="M260" s="38" t="n"/>
      <c r="N260" s="57">
        <f>IF(E260="","",IFERROR(IF(INDEX(Referensi!$B$5:$B$60,MATCH(E260,Referensi!$A$5:$A$60,0))=D260,"OK","Jenis tidak cocok"),"Kategori tidak dikenal"))</f>
        <v/>
      </c>
    </row>
    <row r="261" ht="15" customHeight="1" s="33">
      <c r="A261" s="57">
        <f>IF(B261="","",ROW()-4)</f>
        <v/>
      </c>
      <c r="B261" s="58" t="n"/>
      <c r="C261" s="38" t="n"/>
      <c r="D261" s="38" t="n"/>
      <c r="E261" s="38" t="n"/>
      <c r="F261" s="57">
        <f>IF(E261="","",IFERROR(INDEX(Referensi!$C$5:$C$60,MATCH(E261,Referensi!$A$5:$A$60,0)),"?"))</f>
        <v/>
      </c>
      <c r="G261" s="38" t="n"/>
      <c r="H261" s="59" t="n"/>
      <c r="I261" s="38" t="n"/>
      <c r="J261" s="39" t="n"/>
      <c r="K261" s="60">
        <f>IF(J261="","",SUMIFS(J$5:J261,D$5:D261,"Masuk")-SUMIFS(J$5:J261,D$5:D261,"Keluar"))</f>
        <v/>
      </c>
      <c r="L261" s="38" t="n"/>
      <c r="M261" s="38" t="n"/>
      <c r="N261" s="57">
        <f>IF(E261="","",IFERROR(IF(INDEX(Referensi!$B$5:$B$60,MATCH(E261,Referensi!$A$5:$A$60,0))=D261,"OK","Jenis tidak cocok"),"Kategori tidak dikenal"))</f>
        <v/>
      </c>
    </row>
    <row r="262" ht="15" customHeight="1" s="33">
      <c r="A262" s="57">
        <f>IF(B262="","",ROW()-4)</f>
        <v/>
      </c>
      <c r="B262" s="58" t="n"/>
      <c r="C262" s="38" t="n"/>
      <c r="D262" s="38" t="n"/>
      <c r="E262" s="38" t="n"/>
      <c r="F262" s="57">
        <f>IF(E262="","",IFERROR(INDEX(Referensi!$C$5:$C$60,MATCH(E262,Referensi!$A$5:$A$60,0)),"?"))</f>
        <v/>
      </c>
      <c r="G262" s="38" t="n"/>
      <c r="H262" s="59" t="n"/>
      <c r="I262" s="38" t="n"/>
      <c r="J262" s="39" t="n"/>
      <c r="K262" s="60">
        <f>IF(J262="","",SUMIFS(J$5:J262,D$5:D262,"Masuk")-SUMIFS(J$5:J262,D$5:D262,"Keluar"))</f>
        <v/>
      </c>
      <c r="L262" s="38" t="n"/>
      <c r="M262" s="38" t="n"/>
      <c r="N262" s="57">
        <f>IF(E262="","",IFERROR(IF(INDEX(Referensi!$B$5:$B$60,MATCH(E262,Referensi!$A$5:$A$60,0))=D262,"OK","Jenis tidak cocok"),"Kategori tidak dikenal"))</f>
        <v/>
      </c>
    </row>
    <row r="263" ht="15" customHeight="1" s="33">
      <c r="A263" s="57">
        <f>IF(B263="","",ROW()-4)</f>
        <v/>
      </c>
      <c r="B263" s="58" t="n"/>
      <c r="C263" s="38" t="n"/>
      <c r="D263" s="38" t="n"/>
      <c r="E263" s="38" t="n"/>
      <c r="F263" s="57">
        <f>IF(E263="","",IFERROR(INDEX(Referensi!$C$5:$C$60,MATCH(E263,Referensi!$A$5:$A$60,0)),"?"))</f>
        <v/>
      </c>
      <c r="G263" s="38" t="n"/>
      <c r="H263" s="59" t="n"/>
      <c r="I263" s="38" t="n"/>
      <c r="J263" s="39" t="n"/>
      <c r="K263" s="60">
        <f>IF(J263="","",SUMIFS(J$5:J263,D$5:D263,"Masuk")-SUMIFS(J$5:J263,D$5:D263,"Keluar"))</f>
        <v/>
      </c>
      <c r="L263" s="38" t="n"/>
      <c r="M263" s="38" t="n"/>
      <c r="N263" s="57">
        <f>IF(E263="","",IFERROR(IF(INDEX(Referensi!$B$5:$B$60,MATCH(E263,Referensi!$A$5:$A$60,0))=D263,"OK","Jenis tidak cocok"),"Kategori tidak dikenal"))</f>
        <v/>
      </c>
    </row>
    <row r="264" ht="15" customHeight="1" s="33">
      <c r="A264" s="57">
        <f>IF(B264="","",ROW()-4)</f>
        <v/>
      </c>
      <c r="B264" s="58" t="n"/>
      <c r="C264" s="38" t="n"/>
      <c r="D264" s="38" t="n"/>
      <c r="E264" s="38" t="n"/>
      <c r="F264" s="57">
        <f>IF(E264="","",IFERROR(INDEX(Referensi!$C$5:$C$60,MATCH(E264,Referensi!$A$5:$A$60,0)),"?"))</f>
        <v/>
      </c>
      <c r="G264" s="38" t="n"/>
      <c r="H264" s="59" t="n"/>
      <c r="I264" s="38" t="n"/>
      <c r="J264" s="39" t="n"/>
      <c r="K264" s="60">
        <f>IF(J264="","",SUMIFS(J$5:J264,D$5:D264,"Masuk")-SUMIFS(J$5:J264,D$5:D264,"Keluar"))</f>
        <v/>
      </c>
      <c r="L264" s="38" t="n"/>
      <c r="M264" s="38" t="n"/>
      <c r="N264" s="57">
        <f>IF(E264="","",IFERROR(IF(INDEX(Referensi!$B$5:$B$60,MATCH(E264,Referensi!$A$5:$A$60,0))=D264,"OK","Jenis tidak cocok"),"Kategori tidak dikenal"))</f>
        <v/>
      </c>
    </row>
    <row r="265" ht="15" customHeight="1" s="33">
      <c r="A265" s="57">
        <f>IF(B265="","",ROW()-4)</f>
        <v/>
      </c>
      <c r="B265" s="58" t="n"/>
      <c r="C265" s="38" t="n"/>
      <c r="D265" s="38" t="n"/>
      <c r="E265" s="38" t="n"/>
      <c r="F265" s="57">
        <f>IF(E265="","",IFERROR(INDEX(Referensi!$C$5:$C$60,MATCH(E265,Referensi!$A$5:$A$60,0)),"?"))</f>
        <v/>
      </c>
      <c r="G265" s="38" t="n"/>
      <c r="H265" s="59" t="n"/>
      <c r="I265" s="38" t="n"/>
      <c r="J265" s="39" t="n"/>
      <c r="K265" s="60">
        <f>IF(J265="","",SUMIFS(J$5:J265,D$5:D265,"Masuk")-SUMIFS(J$5:J265,D$5:D265,"Keluar"))</f>
        <v/>
      </c>
      <c r="L265" s="38" t="n"/>
      <c r="M265" s="38" t="n"/>
      <c r="N265" s="57">
        <f>IF(E265="","",IFERROR(IF(INDEX(Referensi!$B$5:$B$60,MATCH(E265,Referensi!$A$5:$A$60,0))=D265,"OK","Jenis tidak cocok"),"Kategori tidak dikenal"))</f>
        <v/>
      </c>
    </row>
    <row r="266" ht="15" customHeight="1" s="33">
      <c r="A266" s="57">
        <f>IF(B266="","",ROW()-4)</f>
        <v/>
      </c>
      <c r="B266" s="58" t="n"/>
      <c r="C266" s="38" t="n"/>
      <c r="D266" s="38" t="n"/>
      <c r="E266" s="38" t="n"/>
      <c r="F266" s="57">
        <f>IF(E266="","",IFERROR(INDEX(Referensi!$C$5:$C$60,MATCH(E266,Referensi!$A$5:$A$60,0)),"?"))</f>
        <v/>
      </c>
      <c r="G266" s="38" t="n"/>
      <c r="H266" s="59" t="n"/>
      <c r="I266" s="38" t="n"/>
      <c r="J266" s="39" t="n"/>
      <c r="K266" s="60">
        <f>IF(J266="","",SUMIFS(J$5:J266,D$5:D266,"Masuk")-SUMIFS(J$5:J266,D$5:D266,"Keluar"))</f>
        <v/>
      </c>
      <c r="L266" s="38" t="n"/>
      <c r="M266" s="38" t="n"/>
      <c r="N266" s="57">
        <f>IF(E266="","",IFERROR(IF(INDEX(Referensi!$B$5:$B$60,MATCH(E266,Referensi!$A$5:$A$60,0))=D266,"OK","Jenis tidak cocok"),"Kategori tidak dikenal"))</f>
        <v/>
      </c>
    </row>
    <row r="267" ht="15" customHeight="1" s="33">
      <c r="A267" s="57">
        <f>IF(B267="","",ROW()-4)</f>
        <v/>
      </c>
      <c r="B267" s="58" t="n"/>
      <c r="C267" s="38" t="n"/>
      <c r="D267" s="38" t="n"/>
      <c r="E267" s="38" t="n"/>
      <c r="F267" s="57">
        <f>IF(E267="","",IFERROR(INDEX(Referensi!$C$5:$C$60,MATCH(E267,Referensi!$A$5:$A$60,0)),"?"))</f>
        <v/>
      </c>
      <c r="G267" s="38" t="n"/>
      <c r="H267" s="59" t="n"/>
      <c r="I267" s="38" t="n"/>
      <c r="J267" s="39" t="n"/>
      <c r="K267" s="60">
        <f>IF(J267="","",SUMIFS(J$5:J267,D$5:D267,"Masuk")-SUMIFS(J$5:J267,D$5:D267,"Keluar"))</f>
        <v/>
      </c>
      <c r="L267" s="38" t="n"/>
      <c r="M267" s="38" t="n"/>
      <c r="N267" s="57">
        <f>IF(E267="","",IFERROR(IF(INDEX(Referensi!$B$5:$B$60,MATCH(E267,Referensi!$A$5:$A$60,0))=D267,"OK","Jenis tidak cocok"),"Kategori tidak dikenal"))</f>
        <v/>
      </c>
    </row>
    <row r="268" ht="15" customHeight="1" s="33">
      <c r="A268" s="57">
        <f>IF(B268="","",ROW()-4)</f>
        <v/>
      </c>
      <c r="B268" s="58" t="n"/>
      <c r="C268" s="38" t="n"/>
      <c r="D268" s="38" t="n"/>
      <c r="E268" s="38" t="n"/>
      <c r="F268" s="57">
        <f>IF(E268="","",IFERROR(INDEX(Referensi!$C$5:$C$60,MATCH(E268,Referensi!$A$5:$A$60,0)),"?"))</f>
        <v/>
      </c>
      <c r="G268" s="38" t="n"/>
      <c r="H268" s="59" t="n"/>
      <c r="I268" s="38" t="n"/>
      <c r="J268" s="39" t="n"/>
      <c r="K268" s="60">
        <f>IF(J268="","",SUMIFS(J$5:J268,D$5:D268,"Masuk")-SUMIFS(J$5:J268,D$5:D268,"Keluar"))</f>
        <v/>
      </c>
      <c r="L268" s="38" t="n"/>
      <c r="M268" s="38" t="n"/>
      <c r="N268" s="57">
        <f>IF(E268="","",IFERROR(IF(INDEX(Referensi!$B$5:$B$60,MATCH(E268,Referensi!$A$5:$A$60,0))=D268,"OK","Jenis tidak cocok"),"Kategori tidak dikenal"))</f>
        <v/>
      </c>
    </row>
    <row r="269" ht="15" customHeight="1" s="33">
      <c r="A269" s="57">
        <f>IF(B269="","",ROW()-4)</f>
        <v/>
      </c>
      <c r="B269" s="58" t="n"/>
      <c r="C269" s="38" t="n"/>
      <c r="D269" s="38" t="n"/>
      <c r="E269" s="38" t="n"/>
      <c r="F269" s="57">
        <f>IF(E269="","",IFERROR(INDEX(Referensi!$C$5:$C$60,MATCH(E269,Referensi!$A$5:$A$60,0)),"?"))</f>
        <v/>
      </c>
      <c r="G269" s="38" t="n"/>
      <c r="H269" s="59" t="n"/>
      <c r="I269" s="38" t="n"/>
      <c r="J269" s="39" t="n"/>
      <c r="K269" s="60">
        <f>IF(J269="","",SUMIFS(J$5:J269,D$5:D269,"Masuk")-SUMIFS(J$5:J269,D$5:D269,"Keluar"))</f>
        <v/>
      </c>
      <c r="L269" s="38" t="n"/>
      <c r="M269" s="38" t="n"/>
      <c r="N269" s="57">
        <f>IF(E269="","",IFERROR(IF(INDEX(Referensi!$B$5:$B$60,MATCH(E269,Referensi!$A$5:$A$60,0))=D269,"OK","Jenis tidak cocok"),"Kategori tidak dikenal"))</f>
        <v/>
      </c>
    </row>
    <row r="270" ht="15" customHeight="1" s="33">
      <c r="A270" s="57">
        <f>IF(B270="","",ROW()-4)</f>
        <v/>
      </c>
      <c r="B270" s="58" t="n"/>
      <c r="C270" s="38" t="n"/>
      <c r="D270" s="38" t="n"/>
      <c r="E270" s="38" t="n"/>
      <c r="F270" s="57">
        <f>IF(E270="","",IFERROR(INDEX(Referensi!$C$5:$C$60,MATCH(E270,Referensi!$A$5:$A$60,0)),"?"))</f>
        <v/>
      </c>
      <c r="G270" s="38" t="n"/>
      <c r="H270" s="59" t="n"/>
      <c r="I270" s="38" t="n"/>
      <c r="J270" s="39" t="n"/>
      <c r="K270" s="60">
        <f>IF(J270="","",SUMIFS(J$5:J270,D$5:D270,"Masuk")-SUMIFS(J$5:J270,D$5:D270,"Keluar"))</f>
        <v/>
      </c>
      <c r="L270" s="38" t="n"/>
      <c r="M270" s="38" t="n"/>
      <c r="N270" s="57">
        <f>IF(E270="","",IFERROR(IF(INDEX(Referensi!$B$5:$B$60,MATCH(E270,Referensi!$A$5:$A$60,0))=D270,"OK","Jenis tidak cocok"),"Kategori tidak dikenal"))</f>
        <v/>
      </c>
    </row>
    <row r="271" ht="15" customHeight="1" s="33">
      <c r="A271" s="57">
        <f>IF(B271="","",ROW()-4)</f>
        <v/>
      </c>
      <c r="B271" s="58" t="n"/>
      <c r="C271" s="38" t="n"/>
      <c r="D271" s="38" t="n"/>
      <c r="E271" s="38" t="n"/>
      <c r="F271" s="57">
        <f>IF(E271="","",IFERROR(INDEX(Referensi!$C$5:$C$60,MATCH(E271,Referensi!$A$5:$A$60,0)),"?"))</f>
        <v/>
      </c>
      <c r="G271" s="38" t="n"/>
      <c r="H271" s="59" t="n"/>
      <c r="I271" s="38" t="n"/>
      <c r="J271" s="39" t="n"/>
      <c r="K271" s="60">
        <f>IF(J271="","",SUMIFS(J$5:J271,D$5:D271,"Masuk")-SUMIFS(J$5:J271,D$5:D271,"Keluar"))</f>
        <v/>
      </c>
      <c r="L271" s="38" t="n"/>
      <c r="M271" s="38" t="n"/>
      <c r="N271" s="57">
        <f>IF(E271="","",IFERROR(IF(INDEX(Referensi!$B$5:$B$60,MATCH(E271,Referensi!$A$5:$A$60,0))=D271,"OK","Jenis tidak cocok"),"Kategori tidak dikenal"))</f>
        <v/>
      </c>
    </row>
    <row r="272" ht="15" customHeight="1" s="33">
      <c r="A272" s="57">
        <f>IF(B272="","",ROW()-4)</f>
        <v/>
      </c>
      <c r="B272" s="58" t="n"/>
      <c r="C272" s="38" t="n"/>
      <c r="D272" s="38" t="n"/>
      <c r="E272" s="38" t="n"/>
      <c r="F272" s="57">
        <f>IF(E272="","",IFERROR(INDEX(Referensi!$C$5:$C$60,MATCH(E272,Referensi!$A$5:$A$60,0)),"?"))</f>
        <v/>
      </c>
      <c r="G272" s="38" t="n"/>
      <c r="H272" s="59" t="n"/>
      <c r="I272" s="38" t="n"/>
      <c r="J272" s="39" t="n"/>
      <c r="K272" s="60">
        <f>IF(J272="","",SUMIFS(J$5:J272,D$5:D272,"Masuk")-SUMIFS(J$5:J272,D$5:D272,"Keluar"))</f>
        <v/>
      </c>
      <c r="L272" s="38" t="n"/>
      <c r="M272" s="38" t="n"/>
      <c r="N272" s="57">
        <f>IF(E272="","",IFERROR(IF(INDEX(Referensi!$B$5:$B$60,MATCH(E272,Referensi!$A$5:$A$60,0))=D272,"OK","Jenis tidak cocok"),"Kategori tidak dikenal"))</f>
        <v/>
      </c>
    </row>
    <row r="273" ht="15" customHeight="1" s="33">
      <c r="A273" s="57">
        <f>IF(B273="","",ROW()-4)</f>
        <v/>
      </c>
      <c r="B273" s="58" t="n"/>
      <c r="C273" s="38" t="n"/>
      <c r="D273" s="38" t="n"/>
      <c r="E273" s="38" t="n"/>
      <c r="F273" s="57">
        <f>IF(E273="","",IFERROR(INDEX(Referensi!$C$5:$C$60,MATCH(E273,Referensi!$A$5:$A$60,0)),"?"))</f>
        <v/>
      </c>
      <c r="G273" s="38" t="n"/>
      <c r="H273" s="59" t="n"/>
      <c r="I273" s="38" t="n"/>
      <c r="J273" s="39" t="n"/>
      <c r="K273" s="60">
        <f>IF(J273="","",SUMIFS(J$5:J273,D$5:D273,"Masuk")-SUMIFS(J$5:J273,D$5:D273,"Keluar"))</f>
        <v/>
      </c>
      <c r="L273" s="38" t="n"/>
      <c r="M273" s="38" t="n"/>
      <c r="N273" s="57">
        <f>IF(E273="","",IFERROR(IF(INDEX(Referensi!$B$5:$B$60,MATCH(E273,Referensi!$A$5:$A$60,0))=D273,"OK","Jenis tidak cocok"),"Kategori tidak dikenal"))</f>
        <v/>
      </c>
    </row>
    <row r="274" ht="15" customHeight="1" s="33">
      <c r="A274" s="57">
        <f>IF(B274="","",ROW()-4)</f>
        <v/>
      </c>
      <c r="B274" s="58" t="n"/>
      <c r="C274" s="38" t="n"/>
      <c r="D274" s="38" t="n"/>
      <c r="E274" s="38" t="n"/>
      <c r="F274" s="57">
        <f>IF(E274="","",IFERROR(INDEX(Referensi!$C$5:$C$60,MATCH(E274,Referensi!$A$5:$A$60,0)),"?"))</f>
        <v/>
      </c>
      <c r="G274" s="38" t="n"/>
      <c r="H274" s="59" t="n"/>
      <c r="I274" s="38" t="n"/>
      <c r="J274" s="39" t="n"/>
      <c r="K274" s="60">
        <f>IF(J274="","",SUMIFS(J$5:J274,D$5:D274,"Masuk")-SUMIFS(J$5:J274,D$5:D274,"Keluar"))</f>
        <v/>
      </c>
      <c r="L274" s="38" t="n"/>
      <c r="M274" s="38" t="n"/>
      <c r="N274" s="57">
        <f>IF(E274="","",IFERROR(IF(INDEX(Referensi!$B$5:$B$60,MATCH(E274,Referensi!$A$5:$A$60,0))=D274,"OK","Jenis tidak cocok"),"Kategori tidak dikenal"))</f>
        <v/>
      </c>
    </row>
    <row r="275" ht="15" customHeight="1" s="33">
      <c r="A275" s="57">
        <f>IF(B275="","",ROW()-4)</f>
        <v/>
      </c>
      <c r="B275" s="58" t="n"/>
      <c r="C275" s="38" t="n"/>
      <c r="D275" s="38" t="n"/>
      <c r="E275" s="38" t="n"/>
      <c r="F275" s="57">
        <f>IF(E275="","",IFERROR(INDEX(Referensi!$C$5:$C$60,MATCH(E275,Referensi!$A$5:$A$60,0)),"?"))</f>
        <v/>
      </c>
      <c r="G275" s="38" t="n"/>
      <c r="H275" s="59" t="n"/>
      <c r="I275" s="38" t="n"/>
      <c r="J275" s="39" t="n"/>
      <c r="K275" s="60">
        <f>IF(J275="","",SUMIFS(J$5:J275,D$5:D275,"Masuk")-SUMIFS(J$5:J275,D$5:D275,"Keluar"))</f>
        <v/>
      </c>
      <c r="L275" s="38" t="n"/>
      <c r="M275" s="38" t="n"/>
      <c r="N275" s="57">
        <f>IF(E275="","",IFERROR(IF(INDEX(Referensi!$B$5:$B$60,MATCH(E275,Referensi!$A$5:$A$60,0))=D275,"OK","Jenis tidak cocok"),"Kategori tidak dikenal"))</f>
        <v/>
      </c>
    </row>
    <row r="276" ht="15" customHeight="1" s="33">
      <c r="A276" s="57">
        <f>IF(B276="","",ROW()-4)</f>
        <v/>
      </c>
      <c r="B276" s="58" t="n"/>
      <c r="C276" s="38" t="n"/>
      <c r="D276" s="38" t="n"/>
      <c r="E276" s="38" t="n"/>
      <c r="F276" s="57">
        <f>IF(E276="","",IFERROR(INDEX(Referensi!$C$5:$C$60,MATCH(E276,Referensi!$A$5:$A$60,0)),"?"))</f>
        <v/>
      </c>
      <c r="G276" s="38" t="n"/>
      <c r="H276" s="59" t="n"/>
      <c r="I276" s="38" t="n"/>
      <c r="J276" s="39" t="n"/>
      <c r="K276" s="60">
        <f>IF(J276="","",SUMIFS(J$5:J276,D$5:D276,"Masuk")-SUMIFS(J$5:J276,D$5:D276,"Keluar"))</f>
        <v/>
      </c>
      <c r="L276" s="38" t="n"/>
      <c r="M276" s="38" t="n"/>
      <c r="N276" s="57">
        <f>IF(E276="","",IFERROR(IF(INDEX(Referensi!$B$5:$B$60,MATCH(E276,Referensi!$A$5:$A$60,0))=D276,"OK","Jenis tidak cocok"),"Kategori tidak dikenal"))</f>
        <v/>
      </c>
    </row>
    <row r="277" ht="15" customHeight="1" s="33">
      <c r="A277" s="57">
        <f>IF(B277="","",ROW()-4)</f>
        <v/>
      </c>
      <c r="B277" s="58" t="n"/>
      <c r="C277" s="38" t="n"/>
      <c r="D277" s="38" t="n"/>
      <c r="E277" s="38" t="n"/>
      <c r="F277" s="57">
        <f>IF(E277="","",IFERROR(INDEX(Referensi!$C$5:$C$60,MATCH(E277,Referensi!$A$5:$A$60,0)),"?"))</f>
        <v/>
      </c>
      <c r="G277" s="38" t="n"/>
      <c r="H277" s="59" t="n"/>
      <c r="I277" s="38" t="n"/>
      <c r="J277" s="39" t="n"/>
      <c r="K277" s="60">
        <f>IF(J277="","",SUMIFS(J$5:J277,D$5:D277,"Masuk")-SUMIFS(J$5:J277,D$5:D277,"Keluar"))</f>
        <v/>
      </c>
      <c r="L277" s="38" t="n"/>
      <c r="M277" s="38" t="n"/>
      <c r="N277" s="57">
        <f>IF(E277="","",IFERROR(IF(INDEX(Referensi!$B$5:$B$60,MATCH(E277,Referensi!$A$5:$A$60,0))=D277,"OK","Jenis tidak cocok"),"Kategori tidak dikenal"))</f>
        <v/>
      </c>
    </row>
    <row r="278" ht="15" customHeight="1" s="33">
      <c r="A278" s="57">
        <f>IF(B278="","",ROW()-4)</f>
        <v/>
      </c>
      <c r="B278" s="58" t="n"/>
      <c r="C278" s="38" t="n"/>
      <c r="D278" s="38" t="n"/>
      <c r="E278" s="38" t="n"/>
      <c r="F278" s="57">
        <f>IF(E278="","",IFERROR(INDEX(Referensi!$C$5:$C$60,MATCH(E278,Referensi!$A$5:$A$60,0)),"?"))</f>
        <v/>
      </c>
      <c r="G278" s="38" t="n"/>
      <c r="H278" s="59" t="n"/>
      <c r="I278" s="38" t="n"/>
      <c r="J278" s="39" t="n"/>
      <c r="K278" s="60">
        <f>IF(J278="","",SUMIFS(J$5:J278,D$5:D278,"Masuk")-SUMIFS(J$5:J278,D$5:D278,"Keluar"))</f>
        <v/>
      </c>
      <c r="L278" s="38" t="n"/>
      <c r="M278" s="38" t="n"/>
      <c r="N278" s="57">
        <f>IF(E278="","",IFERROR(IF(INDEX(Referensi!$B$5:$B$60,MATCH(E278,Referensi!$A$5:$A$60,0))=D278,"OK","Jenis tidak cocok"),"Kategori tidak dikenal"))</f>
        <v/>
      </c>
    </row>
    <row r="279" ht="15" customHeight="1" s="33">
      <c r="A279" s="57">
        <f>IF(B279="","",ROW()-4)</f>
        <v/>
      </c>
      <c r="B279" s="58" t="n"/>
      <c r="C279" s="38" t="n"/>
      <c r="D279" s="38" t="n"/>
      <c r="E279" s="38" t="n"/>
      <c r="F279" s="57">
        <f>IF(E279="","",IFERROR(INDEX(Referensi!$C$5:$C$60,MATCH(E279,Referensi!$A$5:$A$60,0)),"?"))</f>
        <v/>
      </c>
      <c r="G279" s="38" t="n"/>
      <c r="H279" s="59" t="n"/>
      <c r="I279" s="38" t="n"/>
      <c r="J279" s="39" t="n"/>
      <c r="K279" s="60">
        <f>IF(J279="","",SUMIFS(J$5:J279,D$5:D279,"Masuk")-SUMIFS(J$5:J279,D$5:D279,"Keluar"))</f>
        <v/>
      </c>
      <c r="L279" s="38" t="n"/>
      <c r="M279" s="38" t="n"/>
      <c r="N279" s="57">
        <f>IF(E279="","",IFERROR(IF(INDEX(Referensi!$B$5:$B$60,MATCH(E279,Referensi!$A$5:$A$60,0))=D279,"OK","Jenis tidak cocok"),"Kategori tidak dikenal"))</f>
        <v/>
      </c>
    </row>
    <row r="280" ht="15" customHeight="1" s="33">
      <c r="A280" s="57">
        <f>IF(B280="","",ROW()-4)</f>
        <v/>
      </c>
      <c r="B280" s="58" t="n"/>
      <c r="C280" s="38" t="n"/>
      <c r="D280" s="38" t="n"/>
      <c r="E280" s="38" t="n"/>
      <c r="F280" s="57">
        <f>IF(E280="","",IFERROR(INDEX(Referensi!$C$5:$C$60,MATCH(E280,Referensi!$A$5:$A$60,0)),"?"))</f>
        <v/>
      </c>
      <c r="G280" s="38" t="n"/>
      <c r="H280" s="59" t="n"/>
      <c r="I280" s="38" t="n"/>
      <c r="J280" s="39" t="n"/>
      <c r="K280" s="60">
        <f>IF(J280="","",SUMIFS(J$5:J280,D$5:D280,"Masuk")-SUMIFS(J$5:J280,D$5:D280,"Keluar"))</f>
        <v/>
      </c>
      <c r="L280" s="38" t="n"/>
      <c r="M280" s="38" t="n"/>
      <c r="N280" s="57">
        <f>IF(E280="","",IFERROR(IF(INDEX(Referensi!$B$5:$B$60,MATCH(E280,Referensi!$A$5:$A$60,0))=D280,"OK","Jenis tidak cocok"),"Kategori tidak dikenal"))</f>
        <v/>
      </c>
    </row>
    <row r="281" ht="15" customHeight="1" s="33">
      <c r="A281" s="57">
        <f>IF(B281="","",ROW()-4)</f>
        <v/>
      </c>
      <c r="B281" s="58" t="n"/>
      <c r="C281" s="38" t="n"/>
      <c r="D281" s="38" t="n"/>
      <c r="E281" s="38" t="n"/>
      <c r="F281" s="57">
        <f>IF(E281="","",IFERROR(INDEX(Referensi!$C$5:$C$60,MATCH(E281,Referensi!$A$5:$A$60,0)),"?"))</f>
        <v/>
      </c>
      <c r="G281" s="38" t="n"/>
      <c r="H281" s="59" t="n"/>
      <c r="I281" s="38" t="n"/>
      <c r="J281" s="39" t="n"/>
      <c r="K281" s="60">
        <f>IF(J281="","",SUMIFS(J$5:J281,D$5:D281,"Masuk")-SUMIFS(J$5:J281,D$5:D281,"Keluar"))</f>
        <v/>
      </c>
      <c r="L281" s="38" t="n"/>
      <c r="M281" s="38" t="n"/>
      <c r="N281" s="57">
        <f>IF(E281="","",IFERROR(IF(INDEX(Referensi!$B$5:$B$60,MATCH(E281,Referensi!$A$5:$A$60,0))=D281,"OK","Jenis tidak cocok"),"Kategori tidak dikenal"))</f>
        <v/>
      </c>
    </row>
    <row r="282" ht="15" customHeight="1" s="33">
      <c r="A282" s="57">
        <f>IF(B282="","",ROW()-4)</f>
        <v/>
      </c>
      <c r="B282" s="58" t="n"/>
      <c r="C282" s="38" t="n"/>
      <c r="D282" s="38" t="n"/>
      <c r="E282" s="38" t="n"/>
      <c r="F282" s="57">
        <f>IF(E282="","",IFERROR(INDEX(Referensi!$C$5:$C$60,MATCH(E282,Referensi!$A$5:$A$60,0)),"?"))</f>
        <v/>
      </c>
      <c r="G282" s="38" t="n"/>
      <c r="H282" s="59" t="n"/>
      <c r="I282" s="38" t="n"/>
      <c r="J282" s="39" t="n"/>
      <c r="K282" s="60">
        <f>IF(J282="","",SUMIFS(J$5:J282,D$5:D282,"Masuk")-SUMIFS(J$5:J282,D$5:D282,"Keluar"))</f>
        <v/>
      </c>
      <c r="L282" s="38" t="n"/>
      <c r="M282" s="38" t="n"/>
      <c r="N282" s="57">
        <f>IF(E282="","",IFERROR(IF(INDEX(Referensi!$B$5:$B$60,MATCH(E282,Referensi!$A$5:$A$60,0))=D282,"OK","Jenis tidak cocok"),"Kategori tidak dikenal"))</f>
        <v/>
      </c>
    </row>
    <row r="283" ht="15" customHeight="1" s="33">
      <c r="A283" s="57">
        <f>IF(B283="","",ROW()-4)</f>
        <v/>
      </c>
      <c r="B283" s="58" t="n"/>
      <c r="C283" s="38" t="n"/>
      <c r="D283" s="38" t="n"/>
      <c r="E283" s="38" t="n"/>
      <c r="F283" s="57">
        <f>IF(E283="","",IFERROR(INDEX(Referensi!$C$5:$C$60,MATCH(E283,Referensi!$A$5:$A$60,0)),"?"))</f>
        <v/>
      </c>
      <c r="G283" s="38" t="n"/>
      <c r="H283" s="59" t="n"/>
      <c r="I283" s="38" t="n"/>
      <c r="J283" s="39" t="n"/>
      <c r="K283" s="60">
        <f>IF(J283="","",SUMIFS(J$5:J283,D$5:D283,"Masuk")-SUMIFS(J$5:J283,D$5:D283,"Keluar"))</f>
        <v/>
      </c>
      <c r="L283" s="38" t="n"/>
      <c r="M283" s="38" t="n"/>
      <c r="N283" s="57">
        <f>IF(E283="","",IFERROR(IF(INDEX(Referensi!$B$5:$B$60,MATCH(E283,Referensi!$A$5:$A$60,0))=D283,"OK","Jenis tidak cocok"),"Kategori tidak dikenal"))</f>
        <v/>
      </c>
    </row>
    <row r="284" ht="15" customHeight="1" s="33">
      <c r="A284" s="57">
        <f>IF(B284="","",ROW()-4)</f>
        <v/>
      </c>
      <c r="B284" s="58" t="n"/>
      <c r="C284" s="38" t="n"/>
      <c r="D284" s="38" t="n"/>
      <c r="E284" s="38" t="n"/>
      <c r="F284" s="57">
        <f>IF(E284="","",IFERROR(INDEX(Referensi!$C$5:$C$60,MATCH(E284,Referensi!$A$5:$A$60,0)),"?"))</f>
        <v/>
      </c>
      <c r="G284" s="38" t="n"/>
      <c r="H284" s="59" t="n"/>
      <c r="I284" s="38" t="n"/>
      <c r="J284" s="39" t="n"/>
      <c r="K284" s="60">
        <f>IF(J284="","",SUMIFS(J$5:J284,D$5:D284,"Masuk")-SUMIFS(J$5:J284,D$5:D284,"Keluar"))</f>
        <v/>
      </c>
      <c r="L284" s="38" t="n"/>
      <c r="M284" s="38" t="n"/>
      <c r="N284" s="57">
        <f>IF(E284="","",IFERROR(IF(INDEX(Referensi!$B$5:$B$60,MATCH(E284,Referensi!$A$5:$A$60,0))=D284,"OK","Jenis tidak cocok"),"Kategori tidak dikenal"))</f>
        <v/>
      </c>
    </row>
    <row r="285" ht="15" customHeight="1" s="33">
      <c r="A285" s="57">
        <f>IF(B285="","",ROW()-4)</f>
        <v/>
      </c>
      <c r="B285" s="58" t="n"/>
      <c r="C285" s="38" t="n"/>
      <c r="D285" s="38" t="n"/>
      <c r="E285" s="38" t="n"/>
      <c r="F285" s="57">
        <f>IF(E285="","",IFERROR(INDEX(Referensi!$C$5:$C$60,MATCH(E285,Referensi!$A$5:$A$60,0)),"?"))</f>
        <v/>
      </c>
      <c r="G285" s="38" t="n"/>
      <c r="H285" s="59" t="n"/>
      <c r="I285" s="38" t="n"/>
      <c r="J285" s="39" t="n"/>
      <c r="K285" s="60">
        <f>IF(J285="","",SUMIFS(J$5:J285,D$5:D285,"Masuk")-SUMIFS(J$5:J285,D$5:D285,"Keluar"))</f>
        <v/>
      </c>
      <c r="L285" s="38" t="n"/>
      <c r="M285" s="38" t="n"/>
      <c r="N285" s="57">
        <f>IF(E285="","",IFERROR(IF(INDEX(Referensi!$B$5:$B$60,MATCH(E285,Referensi!$A$5:$A$60,0))=D285,"OK","Jenis tidak cocok"),"Kategori tidak dikenal"))</f>
        <v/>
      </c>
    </row>
    <row r="286" ht="15" customHeight="1" s="33">
      <c r="A286" s="57">
        <f>IF(B286="","",ROW()-4)</f>
        <v/>
      </c>
      <c r="B286" s="58" t="n"/>
      <c r="C286" s="38" t="n"/>
      <c r="D286" s="38" t="n"/>
      <c r="E286" s="38" t="n"/>
      <c r="F286" s="57">
        <f>IF(E286="","",IFERROR(INDEX(Referensi!$C$5:$C$60,MATCH(E286,Referensi!$A$5:$A$60,0)),"?"))</f>
        <v/>
      </c>
      <c r="G286" s="38" t="n"/>
      <c r="H286" s="59" t="n"/>
      <c r="I286" s="38" t="n"/>
      <c r="J286" s="39" t="n"/>
      <c r="K286" s="60">
        <f>IF(J286="","",SUMIFS(J$5:J286,D$5:D286,"Masuk")-SUMIFS(J$5:J286,D$5:D286,"Keluar"))</f>
        <v/>
      </c>
      <c r="L286" s="38" t="n"/>
      <c r="M286" s="38" t="n"/>
      <c r="N286" s="57">
        <f>IF(E286="","",IFERROR(IF(INDEX(Referensi!$B$5:$B$60,MATCH(E286,Referensi!$A$5:$A$60,0))=D286,"OK","Jenis tidak cocok"),"Kategori tidak dikenal"))</f>
        <v/>
      </c>
    </row>
    <row r="287" ht="15" customHeight="1" s="33">
      <c r="A287" s="57">
        <f>IF(B287="","",ROW()-4)</f>
        <v/>
      </c>
      <c r="B287" s="58" t="n"/>
      <c r="C287" s="38" t="n"/>
      <c r="D287" s="38" t="n"/>
      <c r="E287" s="38" t="n"/>
      <c r="F287" s="57">
        <f>IF(E287="","",IFERROR(INDEX(Referensi!$C$5:$C$60,MATCH(E287,Referensi!$A$5:$A$60,0)),"?"))</f>
        <v/>
      </c>
      <c r="G287" s="38" t="n"/>
      <c r="H287" s="59" t="n"/>
      <c r="I287" s="38" t="n"/>
      <c r="J287" s="39" t="n"/>
      <c r="K287" s="60">
        <f>IF(J287="","",SUMIFS(J$5:J287,D$5:D287,"Masuk")-SUMIFS(J$5:J287,D$5:D287,"Keluar"))</f>
        <v/>
      </c>
      <c r="L287" s="38" t="n"/>
      <c r="M287" s="38" t="n"/>
      <c r="N287" s="57">
        <f>IF(E287="","",IFERROR(IF(INDEX(Referensi!$B$5:$B$60,MATCH(E287,Referensi!$A$5:$A$60,0))=D287,"OK","Jenis tidak cocok"),"Kategori tidak dikenal"))</f>
        <v/>
      </c>
    </row>
    <row r="288" ht="15" customHeight="1" s="33">
      <c r="A288" s="57">
        <f>IF(B288="","",ROW()-4)</f>
        <v/>
      </c>
      <c r="B288" s="58" t="n"/>
      <c r="C288" s="38" t="n"/>
      <c r="D288" s="38" t="n"/>
      <c r="E288" s="38" t="n"/>
      <c r="F288" s="57">
        <f>IF(E288="","",IFERROR(INDEX(Referensi!$C$5:$C$60,MATCH(E288,Referensi!$A$5:$A$60,0)),"?"))</f>
        <v/>
      </c>
      <c r="G288" s="38" t="n"/>
      <c r="H288" s="59" t="n"/>
      <c r="I288" s="38" t="n"/>
      <c r="J288" s="39" t="n"/>
      <c r="K288" s="60">
        <f>IF(J288="","",SUMIFS(J$5:J288,D$5:D288,"Masuk")-SUMIFS(J$5:J288,D$5:D288,"Keluar"))</f>
        <v/>
      </c>
      <c r="L288" s="38" t="n"/>
      <c r="M288" s="38" t="n"/>
      <c r="N288" s="57">
        <f>IF(E288="","",IFERROR(IF(INDEX(Referensi!$B$5:$B$60,MATCH(E288,Referensi!$A$5:$A$60,0))=D288,"OK","Jenis tidak cocok"),"Kategori tidak dikenal"))</f>
        <v/>
      </c>
    </row>
    <row r="289" ht="15" customHeight="1" s="33">
      <c r="A289" s="57">
        <f>IF(B289="","",ROW()-4)</f>
        <v/>
      </c>
      <c r="B289" s="58" t="n"/>
      <c r="C289" s="38" t="n"/>
      <c r="D289" s="38" t="n"/>
      <c r="E289" s="38" t="n"/>
      <c r="F289" s="57">
        <f>IF(E289="","",IFERROR(INDEX(Referensi!$C$5:$C$60,MATCH(E289,Referensi!$A$5:$A$60,0)),"?"))</f>
        <v/>
      </c>
      <c r="G289" s="38" t="n"/>
      <c r="H289" s="59" t="n"/>
      <c r="I289" s="38" t="n"/>
      <c r="J289" s="39" t="n"/>
      <c r="K289" s="60">
        <f>IF(J289="","",SUMIFS(J$5:J289,D$5:D289,"Masuk")-SUMIFS(J$5:J289,D$5:D289,"Keluar"))</f>
        <v/>
      </c>
      <c r="L289" s="38" t="n"/>
      <c r="M289" s="38" t="n"/>
      <c r="N289" s="57">
        <f>IF(E289="","",IFERROR(IF(INDEX(Referensi!$B$5:$B$60,MATCH(E289,Referensi!$A$5:$A$60,0))=D289,"OK","Jenis tidak cocok"),"Kategori tidak dikenal"))</f>
        <v/>
      </c>
    </row>
    <row r="290" ht="15" customHeight="1" s="33">
      <c r="A290" s="57">
        <f>IF(B290="","",ROW()-4)</f>
        <v/>
      </c>
      <c r="B290" s="58" t="n"/>
      <c r="C290" s="38" t="n"/>
      <c r="D290" s="38" t="n"/>
      <c r="E290" s="38" t="n"/>
      <c r="F290" s="57">
        <f>IF(E290="","",IFERROR(INDEX(Referensi!$C$5:$C$60,MATCH(E290,Referensi!$A$5:$A$60,0)),"?"))</f>
        <v/>
      </c>
      <c r="G290" s="38" t="n"/>
      <c r="H290" s="59" t="n"/>
      <c r="I290" s="38" t="n"/>
      <c r="J290" s="39" t="n"/>
      <c r="K290" s="60">
        <f>IF(J290="","",SUMIFS(J$5:J290,D$5:D290,"Masuk")-SUMIFS(J$5:J290,D$5:D290,"Keluar"))</f>
        <v/>
      </c>
      <c r="L290" s="38" t="n"/>
      <c r="M290" s="38" t="n"/>
      <c r="N290" s="57">
        <f>IF(E290="","",IFERROR(IF(INDEX(Referensi!$B$5:$B$60,MATCH(E290,Referensi!$A$5:$A$60,0))=D290,"OK","Jenis tidak cocok"),"Kategori tidak dikenal"))</f>
        <v/>
      </c>
    </row>
    <row r="291" ht="15" customHeight="1" s="33">
      <c r="A291" s="57">
        <f>IF(B291="","",ROW()-4)</f>
        <v/>
      </c>
      <c r="B291" s="58" t="n"/>
      <c r="C291" s="38" t="n"/>
      <c r="D291" s="38" t="n"/>
      <c r="E291" s="38" t="n"/>
      <c r="F291" s="57">
        <f>IF(E291="","",IFERROR(INDEX(Referensi!$C$5:$C$60,MATCH(E291,Referensi!$A$5:$A$60,0)),"?"))</f>
        <v/>
      </c>
      <c r="G291" s="38" t="n"/>
      <c r="H291" s="59" t="n"/>
      <c r="I291" s="38" t="n"/>
      <c r="J291" s="39" t="n"/>
      <c r="K291" s="60">
        <f>IF(J291="","",SUMIFS(J$5:J291,D$5:D291,"Masuk")-SUMIFS(J$5:J291,D$5:D291,"Keluar"))</f>
        <v/>
      </c>
      <c r="L291" s="38" t="n"/>
      <c r="M291" s="38" t="n"/>
      <c r="N291" s="57">
        <f>IF(E291="","",IFERROR(IF(INDEX(Referensi!$B$5:$B$60,MATCH(E291,Referensi!$A$5:$A$60,0))=D291,"OK","Jenis tidak cocok"),"Kategori tidak dikenal"))</f>
        <v/>
      </c>
    </row>
    <row r="292" ht="15" customHeight="1" s="33">
      <c r="A292" s="57">
        <f>IF(B292="","",ROW()-4)</f>
        <v/>
      </c>
      <c r="B292" s="58" t="n"/>
      <c r="C292" s="38" t="n"/>
      <c r="D292" s="38" t="n"/>
      <c r="E292" s="38" t="n"/>
      <c r="F292" s="57">
        <f>IF(E292="","",IFERROR(INDEX(Referensi!$C$5:$C$60,MATCH(E292,Referensi!$A$5:$A$60,0)),"?"))</f>
        <v/>
      </c>
      <c r="G292" s="38" t="n"/>
      <c r="H292" s="59" t="n"/>
      <c r="I292" s="38" t="n"/>
      <c r="J292" s="39" t="n"/>
      <c r="K292" s="60">
        <f>IF(J292="","",SUMIFS(J$5:J292,D$5:D292,"Masuk")-SUMIFS(J$5:J292,D$5:D292,"Keluar"))</f>
        <v/>
      </c>
      <c r="L292" s="38" t="n"/>
      <c r="M292" s="38" t="n"/>
      <c r="N292" s="57">
        <f>IF(E292="","",IFERROR(IF(INDEX(Referensi!$B$5:$B$60,MATCH(E292,Referensi!$A$5:$A$60,0))=D292,"OK","Jenis tidak cocok"),"Kategori tidak dikenal"))</f>
        <v/>
      </c>
    </row>
    <row r="293" ht="15" customHeight="1" s="33">
      <c r="A293" s="57">
        <f>IF(B293="","",ROW()-4)</f>
        <v/>
      </c>
      <c r="B293" s="58" t="n"/>
      <c r="C293" s="38" t="n"/>
      <c r="D293" s="38" t="n"/>
      <c r="E293" s="38" t="n"/>
      <c r="F293" s="57">
        <f>IF(E293="","",IFERROR(INDEX(Referensi!$C$5:$C$60,MATCH(E293,Referensi!$A$5:$A$60,0)),"?"))</f>
        <v/>
      </c>
      <c r="G293" s="38" t="n"/>
      <c r="H293" s="59" t="n"/>
      <c r="I293" s="38" t="n"/>
      <c r="J293" s="39" t="n"/>
      <c r="K293" s="60">
        <f>IF(J293="","",SUMIFS(J$5:J293,D$5:D293,"Masuk")-SUMIFS(J$5:J293,D$5:D293,"Keluar"))</f>
        <v/>
      </c>
      <c r="L293" s="38" t="n"/>
      <c r="M293" s="38" t="n"/>
      <c r="N293" s="57">
        <f>IF(E293="","",IFERROR(IF(INDEX(Referensi!$B$5:$B$60,MATCH(E293,Referensi!$A$5:$A$60,0))=D293,"OK","Jenis tidak cocok"),"Kategori tidak dikenal"))</f>
        <v/>
      </c>
    </row>
    <row r="294" ht="15" customHeight="1" s="33">
      <c r="A294" s="57">
        <f>IF(B294="","",ROW()-4)</f>
        <v/>
      </c>
      <c r="B294" s="58" t="n"/>
      <c r="C294" s="38" t="n"/>
      <c r="D294" s="38" t="n"/>
      <c r="E294" s="38" t="n"/>
      <c r="F294" s="57">
        <f>IF(E294="","",IFERROR(INDEX(Referensi!$C$5:$C$60,MATCH(E294,Referensi!$A$5:$A$60,0)),"?"))</f>
        <v/>
      </c>
      <c r="G294" s="38" t="n"/>
      <c r="H294" s="59" t="n"/>
      <c r="I294" s="38" t="n"/>
      <c r="J294" s="39" t="n"/>
      <c r="K294" s="60">
        <f>IF(J294="","",SUMIFS(J$5:J294,D$5:D294,"Masuk")-SUMIFS(J$5:J294,D$5:D294,"Keluar"))</f>
        <v/>
      </c>
      <c r="L294" s="38" t="n"/>
      <c r="M294" s="38" t="n"/>
      <c r="N294" s="57">
        <f>IF(E294="","",IFERROR(IF(INDEX(Referensi!$B$5:$B$60,MATCH(E294,Referensi!$A$5:$A$60,0))=D294,"OK","Jenis tidak cocok"),"Kategori tidak dikenal"))</f>
        <v/>
      </c>
    </row>
    <row r="295" ht="15" customHeight="1" s="33">
      <c r="A295" s="57">
        <f>IF(B295="","",ROW()-4)</f>
        <v/>
      </c>
      <c r="B295" s="58" t="n"/>
      <c r="C295" s="38" t="n"/>
      <c r="D295" s="38" t="n"/>
      <c r="E295" s="38" t="n"/>
      <c r="F295" s="57">
        <f>IF(E295="","",IFERROR(INDEX(Referensi!$C$5:$C$60,MATCH(E295,Referensi!$A$5:$A$60,0)),"?"))</f>
        <v/>
      </c>
      <c r="G295" s="38" t="n"/>
      <c r="H295" s="59" t="n"/>
      <c r="I295" s="38" t="n"/>
      <c r="J295" s="39" t="n"/>
      <c r="K295" s="60">
        <f>IF(J295="","",SUMIFS(J$5:J295,D$5:D295,"Masuk")-SUMIFS(J$5:J295,D$5:D295,"Keluar"))</f>
        <v/>
      </c>
      <c r="L295" s="38" t="n"/>
      <c r="M295" s="38" t="n"/>
      <c r="N295" s="57">
        <f>IF(E295="","",IFERROR(IF(INDEX(Referensi!$B$5:$B$60,MATCH(E295,Referensi!$A$5:$A$60,0))=D295,"OK","Jenis tidak cocok"),"Kategori tidak dikenal"))</f>
        <v/>
      </c>
    </row>
    <row r="296" ht="15" customHeight="1" s="33">
      <c r="A296" s="57">
        <f>IF(B296="","",ROW()-4)</f>
        <v/>
      </c>
      <c r="B296" s="58" t="n"/>
      <c r="C296" s="38" t="n"/>
      <c r="D296" s="38" t="n"/>
      <c r="E296" s="38" t="n"/>
      <c r="F296" s="57">
        <f>IF(E296="","",IFERROR(INDEX(Referensi!$C$5:$C$60,MATCH(E296,Referensi!$A$5:$A$60,0)),"?"))</f>
        <v/>
      </c>
      <c r="G296" s="38" t="n"/>
      <c r="H296" s="59" t="n"/>
      <c r="I296" s="38" t="n"/>
      <c r="J296" s="39" t="n"/>
      <c r="K296" s="60">
        <f>IF(J296="","",SUMIFS(J$5:J296,D$5:D296,"Masuk")-SUMIFS(J$5:J296,D$5:D296,"Keluar"))</f>
        <v/>
      </c>
      <c r="L296" s="38" t="n"/>
      <c r="M296" s="38" t="n"/>
      <c r="N296" s="57">
        <f>IF(E296="","",IFERROR(IF(INDEX(Referensi!$B$5:$B$60,MATCH(E296,Referensi!$A$5:$A$60,0))=D296,"OK","Jenis tidak cocok"),"Kategori tidak dikenal"))</f>
        <v/>
      </c>
    </row>
    <row r="297" ht="15" customHeight="1" s="33">
      <c r="A297" s="57">
        <f>IF(B297="","",ROW()-4)</f>
        <v/>
      </c>
      <c r="B297" s="58" t="n"/>
      <c r="C297" s="38" t="n"/>
      <c r="D297" s="38" t="n"/>
      <c r="E297" s="38" t="n"/>
      <c r="F297" s="57">
        <f>IF(E297="","",IFERROR(INDEX(Referensi!$C$5:$C$60,MATCH(E297,Referensi!$A$5:$A$60,0)),"?"))</f>
        <v/>
      </c>
      <c r="G297" s="38" t="n"/>
      <c r="H297" s="59" t="n"/>
      <c r="I297" s="38" t="n"/>
      <c r="J297" s="39" t="n"/>
      <c r="K297" s="60">
        <f>IF(J297="","",SUMIFS(J$5:J297,D$5:D297,"Masuk")-SUMIFS(J$5:J297,D$5:D297,"Keluar"))</f>
        <v/>
      </c>
      <c r="L297" s="38" t="n"/>
      <c r="M297" s="38" t="n"/>
      <c r="N297" s="57">
        <f>IF(E297="","",IFERROR(IF(INDEX(Referensi!$B$5:$B$60,MATCH(E297,Referensi!$A$5:$A$60,0))=D297,"OK","Jenis tidak cocok"),"Kategori tidak dikenal"))</f>
        <v/>
      </c>
    </row>
    <row r="298" ht="15" customHeight="1" s="33">
      <c r="A298" s="57">
        <f>IF(B298="","",ROW()-4)</f>
        <v/>
      </c>
      <c r="B298" s="58" t="n"/>
      <c r="C298" s="38" t="n"/>
      <c r="D298" s="38" t="n"/>
      <c r="E298" s="38" t="n"/>
      <c r="F298" s="57">
        <f>IF(E298="","",IFERROR(INDEX(Referensi!$C$5:$C$60,MATCH(E298,Referensi!$A$5:$A$60,0)),"?"))</f>
        <v/>
      </c>
      <c r="G298" s="38" t="n"/>
      <c r="H298" s="59" t="n"/>
      <c r="I298" s="38" t="n"/>
      <c r="J298" s="39" t="n"/>
      <c r="K298" s="60">
        <f>IF(J298="","",SUMIFS(J$5:J298,D$5:D298,"Masuk")-SUMIFS(J$5:J298,D$5:D298,"Keluar"))</f>
        <v/>
      </c>
      <c r="L298" s="38" t="n"/>
      <c r="M298" s="38" t="n"/>
      <c r="N298" s="57">
        <f>IF(E298="","",IFERROR(IF(INDEX(Referensi!$B$5:$B$60,MATCH(E298,Referensi!$A$5:$A$60,0))=D298,"OK","Jenis tidak cocok"),"Kategori tidak dikenal"))</f>
        <v/>
      </c>
    </row>
    <row r="299" ht="15" customHeight="1" s="33">
      <c r="A299" s="57">
        <f>IF(B299="","",ROW()-4)</f>
        <v/>
      </c>
      <c r="B299" s="58" t="n"/>
      <c r="C299" s="38" t="n"/>
      <c r="D299" s="38" t="n"/>
      <c r="E299" s="38" t="n"/>
      <c r="F299" s="57">
        <f>IF(E299="","",IFERROR(INDEX(Referensi!$C$5:$C$60,MATCH(E299,Referensi!$A$5:$A$60,0)),"?"))</f>
        <v/>
      </c>
      <c r="G299" s="38" t="n"/>
      <c r="H299" s="59" t="n"/>
      <c r="I299" s="38" t="n"/>
      <c r="J299" s="39" t="n"/>
      <c r="K299" s="60">
        <f>IF(J299="","",SUMIFS(J$5:J299,D$5:D299,"Masuk")-SUMIFS(J$5:J299,D$5:D299,"Keluar"))</f>
        <v/>
      </c>
      <c r="L299" s="38" t="n"/>
      <c r="M299" s="38" t="n"/>
      <c r="N299" s="57">
        <f>IF(E299="","",IFERROR(IF(INDEX(Referensi!$B$5:$B$60,MATCH(E299,Referensi!$A$5:$A$60,0))=D299,"OK","Jenis tidak cocok"),"Kategori tidak dikenal"))</f>
        <v/>
      </c>
    </row>
    <row r="300" ht="15" customHeight="1" s="33">
      <c r="A300" s="57">
        <f>IF(B300="","",ROW()-4)</f>
        <v/>
      </c>
      <c r="B300" s="58" t="n"/>
      <c r="C300" s="38" t="n"/>
      <c r="D300" s="38" t="n"/>
      <c r="E300" s="38" t="n"/>
      <c r="F300" s="57">
        <f>IF(E300="","",IFERROR(INDEX(Referensi!$C$5:$C$60,MATCH(E300,Referensi!$A$5:$A$60,0)),"?"))</f>
        <v/>
      </c>
      <c r="G300" s="38" t="n"/>
      <c r="H300" s="59" t="n"/>
      <c r="I300" s="38" t="n"/>
      <c r="J300" s="39" t="n"/>
      <c r="K300" s="60">
        <f>IF(J300="","",SUMIFS(J$5:J300,D$5:D300,"Masuk")-SUMIFS(J$5:J300,D$5:D300,"Keluar"))</f>
        <v/>
      </c>
      <c r="L300" s="38" t="n"/>
      <c r="M300" s="38" t="n"/>
      <c r="N300" s="57">
        <f>IF(E300="","",IFERROR(IF(INDEX(Referensi!$B$5:$B$60,MATCH(E300,Referensi!$A$5:$A$60,0))=D300,"OK","Jenis tidak cocok"),"Kategori tidak dikenal"))</f>
        <v/>
      </c>
    </row>
    <row r="301" ht="15" customHeight="1" s="33">
      <c r="A301" s="57">
        <f>IF(B301="","",ROW()-4)</f>
        <v/>
      </c>
      <c r="B301" s="58" t="n"/>
      <c r="C301" s="38" t="n"/>
      <c r="D301" s="38" t="n"/>
      <c r="E301" s="38" t="n"/>
      <c r="F301" s="57">
        <f>IF(E301="","",IFERROR(INDEX(Referensi!$C$5:$C$60,MATCH(E301,Referensi!$A$5:$A$60,0)),"?"))</f>
        <v/>
      </c>
      <c r="G301" s="38" t="n"/>
      <c r="H301" s="59" t="n"/>
      <c r="I301" s="38" t="n"/>
      <c r="J301" s="39" t="n"/>
      <c r="K301" s="60">
        <f>IF(J301="","",SUMIFS(J$5:J301,D$5:D301,"Masuk")-SUMIFS(J$5:J301,D$5:D301,"Keluar"))</f>
        <v/>
      </c>
      <c r="L301" s="38" t="n"/>
      <c r="M301" s="38" t="n"/>
      <c r="N301" s="57">
        <f>IF(E301="","",IFERROR(IF(INDEX(Referensi!$B$5:$B$60,MATCH(E301,Referensi!$A$5:$A$60,0))=D301,"OK","Jenis tidak cocok"),"Kategori tidak dikenal"))</f>
        <v/>
      </c>
    </row>
    <row r="302" ht="15" customHeight="1" s="33">
      <c r="A302" s="57">
        <f>IF(B302="","",ROW()-4)</f>
        <v/>
      </c>
      <c r="B302" s="58" t="n"/>
      <c r="C302" s="38" t="n"/>
      <c r="D302" s="38" t="n"/>
      <c r="E302" s="38" t="n"/>
      <c r="F302" s="57">
        <f>IF(E302="","",IFERROR(INDEX(Referensi!$C$5:$C$60,MATCH(E302,Referensi!$A$5:$A$60,0)),"?"))</f>
        <v/>
      </c>
      <c r="G302" s="38" t="n"/>
      <c r="H302" s="59" t="n"/>
      <c r="I302" s="38" t="n"/>
      <c r="J302" s="39" t="n"/>
      <c r="K302" s="60">
        <f>IF(J302="","",SUMIFS(J$5:J302,D$5:D302,"Masuk")-SUMIFS(J$5:J302,D$5:D302,"Keluar"))</f>
        <v/>
      </c>
      <c r="L302" s="38" t="n"/>
      <c r="M302" s="38" t="n"/>
      <c r="N302" s="57">
        <f>IF(E302="","",IFERROR(IF(INDEX(Referensi!$B$5:$B$60,MATCH(E302,Referensi!$A$5:$A$60,0))=D302,"OK","Jenis tidak cocok"),"Kategori tidak dikenal"))</f>
        <v/>
      </c>
    </row>
    <row r="303" ht="15" customHeight="1" s="33">
      <c r="A303" s="57">
        <f>IF(B303="","",ROW()-4)</f>
        <v/>
      </c>
      <c r="B303" s="58" t="n"/>
      <c r="C303" s="38" t="n"/>
      <c r="D303" s="38" t="n"/>
      <c r="E303" s="38" t="n"/>
      <c r="F303" s="57">
        <f>IF(E303="","",IFERROR(INDEX(Referensi!$C$5:$C$60,MATCH(E303,Referensi!$A$5:$A$60,0)),"?"))</f>
        <v/>
      </c>
      <c r="G303" s="38" t="n"/>
      <c r="H303" s="59" t="n"/>
      <c r="I303" s="38" t="n"/>
      <c r="J303" s="39" t="n"/>
      <c r="K303" s="60">
        <f>IF(J303="","",SUMIFS(J$5:J303,D$5:D303,"Masuk")-SUMIFS(J$5:J303,D$5:D303,"Keluar"))</f>
        <v/>
      </c>
      <c r="L303" s="38" t="n"/>
      <c r="M303" s="38" t="n"/>
      <c r="N303" s="57">
        <f>IF(E303="","",IFERROR(IF(INDEX(Referensi!$B$5:$B$60,MATCH(E303,Referensi!$A$5:$A$60,0))=D303,"OK","Jenis tidak cocok"),"Kategori tidak dikenal"))</f>
        <v/>
      </c>
    </row>
    <row r="304" ht="15" customHeight="1" s="33">
      <c r="A304" s="57">
        <f>IF(B304="","",ROW()-4)</f>
        <v/>
      </c>
      <c r="B304" s="58" t="n"/>
      <c r="C304" s="38" t="n"/>
      <c r="D304" s="38" t="n"/>
      <c r="E304" s="38" t="n"/>
      <c r="F304" s="57">
        <f>IF(E304="","",IFERROR(INDEX(Referensi!$C$5:$C$60,MATCH(E304,Referensi!$A$5:$A$60,0)),"?"))</f>
        <v/>
      </c>
      <c r="G304" s="38" t="n"/>
      <c r="H304" s="59" t="n"/>
      <c r="I304" s="38" t="n"/>
      <c r="J304" s="39" t="n"/>
      <c r="K304" s="60">
        <f>IF(J304="","",SUMIFS(J$5:J304,D$5:D304,"Masuk")-SUMIFS(J$5:J304,D$5:D304,"Keluar"))</f>
        <v/>
      </c>
      <c r="L304" s="38" t="n"/>
      <c r="M304" s="38" t="n"/>
      <c r="N304" s="57">
        <f>IF(E304="","",IFERROR(IF(INDEX(Referensi!$B$5:$B$60,MATCH(E304,Referensi!$A$5:$A$60,0))=D304,"OK","Jenis tidak cocok"),"Kategori tidak dikenal"))</f>
        <v/>
      </c>
    </row>
    <row r="305" ht="15" customHeight="1" s="33">
      <c r="A305" s="57">
        <f>IF(B305="","",ROW()-4)</f>
        <v/>
      </c>
      <c r="B305" s="58" t="n"/>
      <c r="C305" s="38" t="n"/>
      <c r="D305" s="38" t="n"/>
      <c r="E305" s="38" t="n"/>
      <c r="F305" s="57">
        <f>IF(E305="","",IFERROR(INDEX(Referensi!$C$5:$C$60,MATCH(E305,Referensi!$A$5:$A$60,0)),"?"))</f>
        <v/>
      </c>
      <c r="G305" s="38" t="n"/>
      <c r="H305" s="59" t="n"/>
      <c r="I305" s="38" t="n"/>
      <c r="J305" s="39" t="n"/>
      <c r="K305" s="60">
        <f>IF(J305="","",SUMIFS(J$5:J305,D$5:D305,"Masuk")-SUMIFS(J$5:J305,D$5:D305,"Keluar"))</f>
        <v/>
      </c>
      <c r="L305" s="38" t="n"/>
      <c r="M305" s="38" t="n"/>
      <c r="N305" s="57">
        <f>IF(E305="","",IFERROR(IF(INDEX(Referensi!$B$5:$B$60,MATCH(E305,Referensi!$A$5:$A$60,0))=D305,"OK","Jenis tidak cocok"),"Kategori tidak dikenal"))</f>
        <v/>
      </c>
    </row>
    <row r="306" ht="15" customHeight="1" s="33">
      <c r="A306" s="57">
        <f>IF(B306="","",ROW()-4)</f>
        <v/>
      </c>
      <c r="B306" s="58" t="n"/>
      <c r="C306" s="38" t="n"/>
      <c r="D306" s="38" t="n"/>
      <c r="E306" s="38" t="n"/>
      <c r="F306" s="57">
        <f>IF(E306="","",IFERROR(INDEX(Referensi!$C$5:$C$60,MATCH(E306,Referensi!$A$5:$A$60,0)),"?"))</f>
        <v/>
      </c>
      <c r="G306" s="38" t="n"/>
      <c r="H306" s="59" t="n"/>
      <c r="I306" s="38" t="n"/>
      <c r="J306" s="39" t="n"/>
      <c r="K306" s="60">
        <f>IF(J306="","",SUMIFS(J$5:J306,D$5:D306,"Masuk")-SUMIFS(J$5:J306,D$5:D306,"Keluar"))</f>
        <v/>
      </c>
      <c r="L306" s="38" t="n"/>
      <c r="M306" s="38" t="n"/>
      <c r="N306" s="57">
        <f>IF(E306="","",IFERROR(IF(INDEX(Referensi!$B$5:$B$60,MATCH(E306,Referensi!$A$5:$A$60,0))=D306,"OK","Jenis tidak cocok"),"Kategori tidak dikenal"))</f>
        <v/>
      </c>
    </row>
    <row r="307" ht="15" customHeight="1" s="33">
      <c r="A307" s="57">
        <f>IF(B307="","",ROW()-4)</f>
        <v/>
      </c>
      <c r="B307" s="58" t="n"/>
      <c r="C307" s="38" t="n"/>
      <c r="D307" s="38" t="n"/>
      <c r="E307" s="38" t="n"/>
      <c r="F307" s="57">
        <f>IF(E307="","",IFERROR(INDEX(Referensi!$C$5:$C$60,MATCH(E307,Referensi!$A$5:$A$60,0)),"?"))</f>
        <v/>
      </c>
      <c r="G307" s="38" t="n"/>
      <c r="H307" s="59" t="n"/>
      <c r="I307" s="38" t="n"/>
      <c r="J307" s="39" t="n"/>
      <c r="K307" s="60">
        <f>IF(J307="","",SUMIFS(J$5:J307,D$5:D307,"Masuk")-SUMIFS(J$5:J307,D$5:D307,"Keluar"))</f>
        <v/>
      </c>
      <c r="L307" s="38" t="n"/>
      <c r="M307" s="38" t="n"/>
      <c r="N307" s="57">
        <f>IF(E307="","",IFERROR(IF(INDEX(Referensi!$B$5:$B$60,MATCH(E307,Referensi!$A$5:$A$60,0))=D307,"OK","Jenis tidak cocok"),"Kategori tidak dikenal"))</f>
        <v/>
      </c>
    </row>
    <row r="308" ht="15" customHeight="1" s="33">
      <c r="A308" s="57">
        <f>IF(B308="","",ROW()-4)</f>
        <v/>
      </c>
      <c r="B308" s="58" t="n"/>
      <c r="C308" s="38" t="n"/>
      <c r="D308" s="38" t="n"/>
      <c r="E308" s="38" t="n"/>
      <c r="F308" s="57">
        <f>IF(E308="","",IFERROR(INDEX(Referensi!$C$5:$C$60,MATCH(E308,Referensi!$A$5:$A$60,0)),"?"))</f>
        <v/>
      </c>
      <c r="G308" s="38" t="n"/>
      <c r="H308" s="59" t="n"/>
      <c r="I308" s="38" t="n"/>
      <c r="J308" s="39" t="n"/>
      <c r="K308" s="60">
        <f>IF(J308="","",SUMIFS(J$5:J308,D$5:D308,"Masuk")-SUMIFS(J$5:J308,D$5:D308,"Keluar"))</f>
        <v/>
      </c>
      <c r="L308" s="38" t="n"/>
      <c r="M308" s="38" t="n"/>
      <c r="N308" s="57">
        <f>IF(E308="","",IFERROR(IF(INDEX(Referensi!$B$5:$B$60,MATCH(E308,Referensi!$A$5:$A$60,0))=D308,"OK","Jenis tidak cocok"),"Kategori tidak dikenal"))</f>
        <v/>
      </c>
    </row>
    <row r="309" ht="15" customHeight="1" s="33">
      <c r="A309" s="57">
        <f>IF(B309="","",ROW()-4)</f>
        <v/>
      </c>
      <c r="B309" s="58" t="n"/>
      <c r="C309" s="38" t="n"/>
      <c r="D309" s="38" t="n"/>
      <c r="E309" s="38" t="n"/>
      <c r="F309" s="57">
        <f>IF(E309="","",IFERROR(INDEX(Referensi!$C$5:$C$60,MATCH(E309,Referensi!$A$5:$A$60,0)),"?"))</f>
        <v/>
      </c>
      <c r="G309" s="38" t="n"/>
      <c r="H309" s="59" t="n"/>
      <c r="I309" s="38" t="n"/>
      <c r="J309" s="39" t="n"/>
      <c r="K309" s="60">
        <f>IF(J309="","",SUMIFS(J$5:J309,D$5:D309,"Masuk")-SUMIFS(J$5:J309,D$5:D309,"Keluar"))</f>
        <v/>
      </c>
      <c r="L309" s="38" t="n"/>
      <c r="M309" s="38" t="n"/>
      <c r="N309" s="57">
        <f>IF(E309="","",IFERROR(IF(INDEX(Referensi!$B$5:$B$60,MATCH(E309,Referensi!$A$5:$A$60,0))=D309,"OK","Jenis tidak cocok"),"Kategori tidak dikenal"))</f>
        <v/>
      </c>
    </row>
    <row r="310" ht="15" customHeight="1" s="33">
      <c r="A310" s="57">
        <f>IF(B310="","",ROW()-4)</f>
        <v/>
      </c>
      <c r="B310" s="58" t="n"/>
      <c r="C310" s="38" t="n"/>
      <c r="D310" s="38" t="n"/>
      <c r="E310" s="38" t="n"/>
      <c r="F310" s="57">
        <f>IF(E310="","",IFERROR(INDEX(Referensi!$C$5:$C$60,MATCH(E310,Referensi!$A$5:$A$60,0)),"?"))</f>
        <v/>
      </c>
      <c r="G310" s="38" t="n"/>
      <c r="H310" s="59" t="n"/>
      <c r="I310" s="38" t="n"/>
      <c r="J310" s="39" t="n"/>
      <c r="K310" s="60">
        <f>IF(J310="","",SUMIFS(J$5:J310,D$5:D310,"Masuk")-SUMIFS(J$5:J310,D$5:D310,"Keluar"))</f>
        <v/>
      </c>
      <c r="L310" s="38" t="n"/>
      <c r="M310" s="38" t="n"/>
      <c r="N310" s="57">
        <f>IF(E310="","",IFERROR(IF(INDEX(Referensi!$B$5:$B$60,MATCH(E310,Referensi!$A$5:$A$60,0))=D310,"OK","Jenis tidak cocok"),"Kategori tidak dikenal"))</f>
        <v/>
      </c>
    </row>
    <row r="311" ht="15" customHeight="1" s="33">
      <c r="A311" s="57">
        <f>IF(B311="","",ROW()-4)</f>
        <v/>
      </c>
      <c r="B311" s="58" t="n"/>
      <c r="C311" s="38" t="n"/>
      <c r="D311" s="38" t="n"/>
      <c r="E311" s="38" t="n"/>
      <c r="F311" s="57">
        <f>IF(E311="","",IFERROR(INDEX(Referensi!$C$5:$C$60,MATCH(E311,Referensi!$A$5:$A$60,0)),"?"))</f>
        <v/>
      </c>
      <c r="G311" s="38" t="n"/>
      <c r="H311" s="59" t="n"/>
      <c r="I311" s="38" t="n"/>
      <c r="J311" s="39" t="n"/>
      <c r="K311" s="60">
        <f>IF(J311="","",SUMIFS(J$5:J311,D$5:D311,"Masuk")-SUMIFS(J$5:J311,D$5:D311,"Keluar"))</f>
        <v/>
      </c>
      <c r="L311" s="38" t="n"/>
      <c r="M311" s="38" t="n"/>
      <c r="N311" s="57">
        <f>IF(E311="","",IFERROR(IF(INDEX(Referensi!$B$5:$B$60,MATCH(E311,Referensi!$A$5:$A$60,0))=D311,"OK","Jenis tidak cocok"),"Kategori tidak dikenal"))</f>
        <v/>
      </c>
    </row>
    <row r="312" ht="15" customHeight="1" s="33">
      <c r="A312" s="57">
        <f>IF(B312="","",ROW()-4)</f>
        <v/>
      </c>
      <c r="B312" s="58" t="n"/>
      <c r="C312" s="38" t="n"/>
      <c r="D312" s="38" t="n"/>
      <c r="E312" s="38" t="n"/>
      <c r="F312" s="57">
        <f>IF(E312="","",IFERROR(INDEX(Referensi!$C$5:$C$60,MATCH(E312,Referensi!$A$5:$A$60,0)),"?"))</f>
        <v/>
      </c>
      <c r="G312" s="38" t="n"/>
      <c r="H312" s="59" t="n"/>
      <c r="I312" s="38" t="n"/>
      <c r="J312" s="39" t="n"/>
      <c r="K312" s="60">
        <f>IF(J312="","",SUMIFS(J$5:J312,D$5:D312,"Masuk")-SUMIFS(J$5:J312,D$5:D312,"Keluar"))</f>
        <v/>
      </c>
      <c r="L312" s="38" t="n"/>
      <c r="M312" s="38" t="n"/>
      <c r="N312" s="57">
        <f>IF(E312="","",IFERROR(IF(INDEX(Referensi!$B$5:$B$60,MATCH(E312,Referensi!$A$5:$A$60,0))=D312,"OK","Jenis tidak cocok"),"Kategori tidak dikenal"))</f>
        <v/>
      </c>
    </row>
    <row r="313" ht="15" customHeight="1" s="33">
      <c r="A313" s="57">
        <f>IF(B313="","",ROW()-4)</f>
        <v/>
      </c>
      <c r="B313" s="58" t="n"/>
      <c r="C313" s="38" t="n"/>
      <c r="D313" s="38" t="n"/>
      <c r="E313" s="38" t="n"/>
      <c r="F313" s="57">
        <f>IF(E313="","",IFERROR(INDEX(Referensi!$C$5:$C$60,MATCH(E313,Referensi!$A$5:$A$60,0)),"?"))</f>
        <v/>
      </c>
      <c r="G313" s="38" t="n"/>
      <c r="H313" s="59" t="n"/>
      <c r="I313" s="38" t="n"/>
      <c r="J313" s="39" t="n"/>
      <c r="K313" s="60">
        <f>IF(J313="","",SUMIFS(J$5:J313,D$5:D313,"Masuk")-SUMIFS(J$5:J313,D$5:D313,"Keluar"))</f>
        <v/>
      </c>
      <c r="L313" s="38" t="n"/>
      <c r="M313" s="38" t="n"/>
      <c r="N313" s="57">
        <f>IF(E313="","",IFERROR(IF(INDEX(Referensi!$B$5:$B$60,MATCH(E313,Referensi!$A$5:$A$60,0))=D313,"OK","Jenis tidak cocok"),"Kategori tidak dikenal"))</f>
        <v/>
      </c>
    </row>
    <row r="314" ht="15" customHeight="1" s="33">
      <c r="A314" s="57">
        <f>IF(B314="","",ROW()-4)</f>
        <v/>
      </c>
      <c r="B314" s="58" t="n"/>
      <c r="C314" s="38" t="n"/>
      <c r="D314" s="38" t="n"/>
      <c r="E314" s="38" t="n"/>
      <c r="F314" s="57">
        <f>IF(E314="","",IFERROR(INDEX(Referensi!$C$5:$C$60,MATCH(E314,Referensi!$A$5:$A$60,0)),"?"))</f>
        <v/>
      </c>
      <c r="G314" s="38" t="n"/>
      <c r="H314" s="59" t="n"/>
      <c r="I314" s="38" t="n"/>
      <c r="J314" s="39" t="n"/>
      <c r="K314" s="60">
        <f>IF(J314="","",SUMIFS(J$5:J314,D$5:D314,"Masuk")-SUMIFS(J$5:J314,D$5:D314,"Keluar"))</f>
        <v/>
      </c>
      <c r="L314" s="38" t="n"/>
      <c r="M314" s="38" t="n"/>
      <c r="N314" s="57">
        <f>IF(E314="","",IFERROR(IF(INDEX(Referensi!$B$5:$B$60,MATCH(E314,Referensi!$A$5:$A$60,0))=D314,"OK","Jenis tidak cocok"),"Kategori tidak dikenal"))</f>
        <v/>
      </c>
    </row>
    <row r="315" ht="15" customHeight="1" s="33">
      <c r="A315" s="57">
        <f>IF(B315="","",ROW()-4)</f>
        <v/>
      </c>
      <c r="B315" s="58" t="n"/>
      <c r="C315" s="38" t="n"/>
      <c r="D315" s="38" t="n"/>
      <c r="E315" s="38" t="n"/>
      <c r="F315" s="57">
        <f>IF(E315="","",IFERROR(INDEX(Referensi!$C$5:$C$60,MATCH(E315,Referensi!$A$5:$A$60,0)),"?"))</f>
        <v/>
      </c>
      <c r="G315" s="38" t="n"/>
      <c r="H315" s="59" t="n"/>
      <c r="I315" s="38" t="n"/>
      <c r="J315" s="39" t="n"/>
      <c r="K315" s="60">
        <f>IF(J315="","",SUMIFS(J$5:J315,D$5:D315,"Masuk")-SUMIFS(J$5:J315,D$5:D315,"Keluar"))</f>
        <v/>
      </c>
      <c r="L315" s="38" t="n"/>
      <c r="M315" s="38" t="n"/>
      <c r="N315" s="57">
        <f>IF(E315="","",IFERROR(IF(INDEX(Referensi!$B$5:$B$60,MATCH(E315,Referensi!$A$5:$A$60,0))=D315,"OK","Jenis tidak cocok"),"Kategori tidak dikenal"))</f>
        <v/>
      </c>
    </row>
    <row r="316" ht="15" customHeight="1" s="33">
      <c r="A316" s="57">
        <f>IF(B316="","",ROW()-4)</f>
        <v/>
      </c>
      <c r="B316" s="58" t="n"/>
      <c r="C316" s="38" t="n"/>
      <c r="D316" s="38" t="n"/>
      <c r="E316" s="38" t="n"/>
      <c r="F316" s="57">
        <f>IF(E316="","",IFERROR(INDEX(Referensi!$C$5:$C$60,MATCH(E316,Referensi!$A$5:$A$60,0)),"?"))</f>
        <v/>
      </c>
      <c r="G316" s="38" t="n"/>
      <c r="H316" s="59" t="n"/>
      <c r="I316" s="38" t="n"/>
      <c r="J316" s="39" t="n"/>
      <c r="K316" s="60">
        <f>IF(J316="","",SUMIFS(J$5:J316,D$5:D316,"Masuk")-SUMIFS(J$5:J316,D$5:D316,"Keluar"))</f>
        <v/>
      </c>
      <c r="L316" s="38" t="n"/>
      <c r="M316" s="38" t="n"/>
      <c r="N316" s="57">
        <f>IF(E316="","",IFERROR(IF(INDEX(Referensi!$B$5:$B$60,MATCH(E316,Referensi!$A$5:$A$60,0))=D316,"OK","Jenis tidak cocok"),"Kategori tidak dikenal"))</f>
        <v/>
      </c>
    </row>
    <row r="317" ht="15" customHeight="1" s="33">
      <c r="A317" s="57">
        <f>IF(B317="","",ROW()-4)</f>
        <v/>
      </c>
      <c r="B317" s="58" t="n"/>
      <c r="C317" s="38" t="n"/>
      <c r="D317" s="38" t="n"/>
      <c r="E317" s="38" t="n"/>
      <c r="F317" s="57">
        <f>IF(E317="","",IFERROR(INDEX(Referensi!$C$5:$C$60,MATCH(E317,Referensi!$A$5:$A$60,0)),"?"))</f>
        <v/>
      </c>
      <c r="G317" s="38" t="n"/>
      <c r="H317" s="59" t="n"/>
      <c r="I317" s="38" t="n"/>
      <c r="J317" s="39" t="n"/>
      <c r="K317" s="60">
        <f>IF(J317="","",SUMIFS(J$5:J317,D$5:D317,"Masuk")-SUMIFS(J$5:J317,D$5:D317,"Keluar"))</f>
        <v/>
      </c>
      <c r="L317" s="38" t="n"/>
      <c r="M317" s="38" t="n"/>
      <c r="N317" s="57">
        <f>IF(E317="","",IFERROR(IF(INDEX(Referensi!$B$5:$B$60,MATCH(E317,Referensi!$A$5:$A$60,0))=D317,"OK","Jenis tidak cocok"),"Kategori tidak dikenal"))</f>
        <v/>
      </c>
    </row>
    <row r="318" ht="15" customHeight="1" s="33">
      <c r="A318" s="57">
        <f>IF(B318="","",ROW()-4)</f>
        <v/>
      </c>
      <c r="B318" s="58" t="n"/>
      <c r="C318" s="38" t="n"/>
      <c r="D318" s="38" t="n"/>
      <c r="E318" s="38" t="n"/>
      <c r="F318" s="57">
        <f>IF(E318="","",IFERROR(INDEX(Referensi!$C$5:$C$60,MATCH(E318,Referensi!$A$5:$A$60,0)),"?"))</f>
        <v/>
      </c>
      <c r="G318" s="38" t="n"/>
      <c r="H318" s="59" t="n"/>
      <c r="I318" s="38" t="n"/>
      <c r="J318" s="39" t="n"/>
      <c r="K318" s="60">
        <f>IF(J318="","",SUMIFS(J$5:J318,D$5:D318,"Masuk")-SUMIFS(J$5:J318,D$5:D318,"Keluar"))</f>
        <v/>
      </c>
      <c r="L318" s="38" t="n"/>
      <c r="M318" s="38" t="n"/>
      <c r="N318" s="57">
        <f>IF(E318="","",IFERROR(IF(INDEX(Referensi!$B$5:$B$60,MATCH(E318,Referensi!$A$5:$A$60,0))=D318,"OK","Jenis tidak cocok"),"Kategori tidak dikenal"))</f>
        <v/>
      </c>
    </row>
    <row r="319" ht="15" customHeight="1" s="33">
      <c r="A319" s="57">
        <f>IF(B319="","",ROW()-4)</f>
        <v/>
      </c>
      <c r="B319" s="58" t="n"/>
      <c r="C319" s="38" t="n"/>
      <c r="D319" s="38" t="n"/>
      <c r="E319" s="38" t="n"/>
      <c r="F319" s="57">
        <f>IF(E319="","",IFERROR(INDEX(Referensi!$C$5:$C$60,MATCH(E319,Referensi!$A$5:$A$60,0)),"?"))</f>
        <v/>
      </c>
      <c r="G319" s="38" t="n"/>
      <c r="H319" s="59" t="n"/>
      <c r="I319" s="38" t="n"/>
      <c r="J319" s="39" t="n"/>
      <c r="K319" s="60">
        <f>IF(J319="","",SUMIFS(J$5:J319,D$5:D319,"Masuk")-SUMIFS(J$5:J319,D$5:D319,"Keluar"))</f>
        <v/>
      </c>
      <c r="L319" s="38" t="n"/>
      <c r="M319" s="38" t="n"/>
      <c r="N319" s="57">
        <f>IF(E319="","",IFERROR(IF(INDEX(Referensi!$B$5:$B$60,MATCH(E319,Referensi!$A$5:$A$60,0))=D319,"OK","Jenis tidak cocok"),"Kategori tidak dikenal"))</f>
        <v/>
      </c>
    </row>
    <row r="320" ht="15" customHeight="1" s="33">
      <c r="A320" s="57">
        <f>IF(B320="","",ROW()-4)</f>
        <v/>
      </c>
      <c r="B320" s="58" t="n"/>
      <c r="C320" s="38" t="n"/>
      <c r="D320" s="38" t="n"/>
      <c r="E320" s="38" t="n"/>
      <c r="F320" s="57">
        <f>IF(E320="","",IFERROR(INDEX(Referensi!$C$5:$C$60,MATCH(E320,Referensi!$A$5:$A$60,0)),"?"))</f>
        <v/>
      </c>
      <c r="G320" s="38" t="n"/>
      <c r="H320" s="59" t="n"/>
      <c r="I320" s="38" t="n"/>
      <c r="J320" s="39" t="n"/>
      <c r="K320" s="60">
        <f>IF(J320="","",SUMIFS(J$5:J320,D$5:D320,"Masuk")-SUMIFS(J$5:J320,D$5:D320,"Keluar"))</f>
        <v/>
      </c>
      <c r="L320" s="38" t="n"/>
      <c r="M320" s="38" t="n"/>
      <c r="N320" s="57">
        <f>IF(E320="","",IFERROR(IF(INDEX(Referensi!$B$5:$B$60,MATCH(E320,Referensi!$A$5:$A$60,0))=D320,"OK","Jenis tidak cocok"),"Kategori tidak dikenal"))</f>
        <v/>
      </c>
    </row>
    <row r="321" ht="15" customHeight="1" s="33">
      <c r="A321" s="57">
        <f>IF(B321="","",ROW()-4)</f>
        <v/>
      </c>
      <c r="B321" s="58" t="n"/>
      <c r="C321" s="38" t="n"/>
      <c r="D321" s="38" t="n"/>
      <c r="E321" s="38" t="n"/>
      <c r="F321" s="57">
        <f>IF(E321="","",IFERROR(INDEX(Referensi!$C$5:$C$60,MATCH(E321,Referensi!$A$5:$A$60,0)),"?"))</f>
        <v/>
      </c>
      <c r="G321" s="38" t="n"/>
      <c r="H321" s="59" t="n"/>
      <c r="I321" s="38" t="n"/>
      <c r="J321" s="39" t="n"/>
      <c r="K321" s="60">
        <f>IF(J321="","",SUMIFS(J$5:J321,D$5:D321,"Masuk")-SUMIFS(J$5:J321,D$5:D321,"Keluar"))</f>
        <v/>
      </c>
      <c r="L321" s="38" t="n"/>
      <c r="M321" s="38" t="n"/>
      <c r="N321" s="57">
        <f>IF(E321="","",IFERROR(IF(INDEX(Referensi!$B$5:$B$60,MATCH(E321,Referensi!$A$5:$A$60,0))=D321,"OK","Jenis tidak cocok"),"Kategori tidak dikenal"))</f>
        <v/>
      </c>
    </row>
    <row r="322" ht="15" customHeight="1" s="33">
      <c r="A322" s="57">
        <f>IF(B322="","",ROW()-4)</f>
        <v/>
      </c>
      <c r="B322" s="58" t="n"/>
      <c r="C322" s="38" t="n"/>
      <c r="D322" s="38" t="n"/>
      <c r="E322" s="38" t="n"/>
      <c r="F322" s="57">
        <f>IF(E322="","",IFERROR(INDEX(Referensi!$C$5:$C$60,MATCH(E322,Referensi!$A$5:$A$60,0)),"?"))</f>
        <v/>
      </c>
      <c r="G322" s="38" t="n"/>
      <c r="H322" s="59" t="n"/>
      <c r="I322" s="38" t="n"/>
      <c r="J322" s="39" t="n"/>
      <c r="K322" s="60">
        <f>IF(J322="","",SUMIFS(J$5:J322,D$5:D322,"Masuk")-SUMIFS(J$5:J322,D$5:D322,"Keluar"))</f>
        <v/>
      </c>
      <c r="L322" s="38" t="n"/>
      <c r="M322" s="38" t="n"/>
      <c r="N322" s="57">
        <f>IF(E322="","",IFERROR(IF(INDEX(Referensi!$B$5:$B$60,MATCH(E322,Referensi!$A$5:$A$60,0))=D322,"OK","Jenis tidak cocok"),"Kategori tidak dikenal"))</f>
        <v/>
      </c>
    </row>
    <row r="323" ht="15" customHeight="1" s="33">
      <c r="A323" s="57">
        <f>IF(B323="","",ROW()-4)</f>
        <v/>
      </c>
      <c r="B323" s="58" t="n"/>
      <c r="C323" s="38" t="n"/>
      <c r="D323" s="38" t="n"/>
      <c r="E323" s="38" t="n"/>
      <c r="F323" s="57">
        <f>IF(E323="","",IFERROR(INDEX(Referensi!$C$5:$C$60,MATCH(E323,Referensi!$A$5:$A$60,0)),"?"))</f>
        <v/>
      </c>
      <c r="G323" s="38" t="n"/>
      <c r="H323" s="59" t="n"/>
      <c r="I323" s="38" t="n"/>
      <c r="J323" s="39" t="n"/>
      <c r="K323" s="60">
        <f>IF(J323="","",SUMIFS(J$5:J323,D$5:D323,"Masuk")-SUMIFS(J$5:J323,D$5:D323,"Keluar"))</f>
        <v/>
      </c>
      <c r="L323" s="38" t="n"/>
      <c r="M323" s="38" t="n"/>
      <c r="N323" s="57">
        <f>IF(E323="","",IFERROR(IF(INDEX(Referensi!$B$5:$B$60,MATCH(E323,Referensi!$A$5:$A$60,0))=D323,"OK","Jenis tidak cocok"),"Kategori tidak dikenal"))</f>
        <v/>
      </c>
    </row>
    <row r="324" ht="15" customHeight="1" s="33">
      <c r="A324" s="57">
        <f>IF(B324="","",ROW()-4)</f>
        <v/>
      </c>
      <c r="B324" s="58" t="n"/>
      <c r="C324" s="38" t="n"/>
      <c r="D324" s="38" t="n"/>
      <c r="E324" s="38" t="n"/>
      <c r="F324" s="57">
        <f>IF(E324="","",IFERROR(INDEX(Referensi!$C$5:$C$60,MATCH(E324,Referensi!$A$5:$A$60,0)),"?"))</f>
        <v/>
      </c>
      <c r="G324" s="38" t="n"/>
      <c r="H324" s="59" t="n"/>
      <c r="I324" s="38" t="n"/>
      <c r="J324" s="39" t="n"/>
      <c r="K324" s="60">
        <f>IF(J324="","",SUMIFS(J$5:J324,D$5:D324,"Masuk")-SUMIFS(J$5:J324,D$5:D324,"Keluar"))</f>
        <v/>
      </c>
      <c r="L324" s="38" t="n"/>
      <c r="M324" s="38" t="n"/>
      <c r="N324" s="57">
        <f>IF(E324="","",IFERROR(IF(INDEX(Referensi!$B$5:$B$60,MATCH(E324,Referensi!$A$5:$A$60,0))=D324,"OK","Jenis tidak cocok"),"Kategori tidak dikenal"))</f>
        <v/>
      </c>
    </row>
    <row r="325" ht="15" customHeight="1" s="33">
      <c r="A325" s="57">
        <f>IF(B325="","",ROW()-4)</f>
        <v/>
      </c>
      <c r="B325" s="58" t="n"/>
      <c r="C325" s="38" t="n"/>
      <c r="D325" s="38" t="n"/>
      <c r="E325" s="38" t="n"/>
      <c r="F325" s="57">
        <f>IF(E325="","",IFERROR(INDEX(Referensi!$C$5:$C$60,MATCH(E325,Referensi!$A$5:$A$60,0)),"?"))</f>
        <v/>
      </c>
      <c r="G325" s="38" t="n"/>
      <c r="H325" s="59" t="n"/>
      <c r="I325" s="38" t="n"/>
      <c r="J325" s="39" t="n"/>
      <c r="K325" s="60">
        <f>IF(J325="","",SUMIFS(J$5:J325,D$5:D325,"Masuk")-SUMIFS(J$5:J325,D$5:D325,"Keluar"))</f>
        <v/>
      </c>
      <c r="L325" s="38" t="n"/>
      <c r="M325" s="38" t="n"/>
      <c r="N325" s="57">
        <f>IF(E325="","",IFERROR(IF(INDEX(Referensi!$B$5:$B$60,MATCH(E325,Referensi!$A$5:$A$60,0))=D325,"OK","Jenis tidak cocok"),"Kategori tidak dikenal"))</f>
        <v/>
      </c>
    </row>
    <row r="326" ht="15" customHeight="1" s="33">
      <c r="A326" s="57">
        <f>IF(B326="","",ROW()-4)</f>
        <v/>
      </c>
      <c r="B326" s="58" t="n"/>
      <c r="C326" s="38" t="n"/>
      <c r="D326" s="38" t="n"/>
      <c r="E326" s="38" t="n"/>
      <c r="F326" s="57">
        <f>IF(E326="","",IFERROR(INDEX(Referensi!$C$5:$C$60,MATCH(E326,Referensi!$A$5:$A$60,0)),"?"))</f>
        <v/>
      </c>
      <c r="G326" s="38" t="n"/>
      <c r="H326" s="59" t="n"/>
      <c r="I326" s="38" t="n"/>
      <c r="J326" s="39" t="n"/>
      <c r="K326" s="60">
        <f>IF(J326="","",SUMIFS(J$5:J326,D$5:D326,"Masuk")-SUMIFS(J$5:J326,D$5:D326,"Keluar"))</f>
        <v/>
      </c>
      <c r="L326" s="38" t="n"/>
      <c r="M326" s="38" t="n"/>
      <c r="N326" s="57">
        <f>IF(E326="","",IFERROR(IF(INDEX(Referensi!$B$5:$B$60,MATCH(E326,Referensi!$A$5:$A$60,0))=D326,"OK","Jenis tidak cocok"),"Kategori tidak dikenal"))</f>
        <v/>
      </c>
    </row>
    <row r="327" ht="15" customHeight="1" s="33">
      <c r="A327" s="57">
        <f>IF(B327="","",ROW()-4)</f>
        <v/>
      </c>
      <c r="B327" s="58" t="n"/>
      <c r="C327" s="38" t="n"/>
      <c r="D327" s="38" t="n"/>
      <c r="E327" s="38" t="n"/>
      <c r="F327" s="57">
        <f>IF(E327="","",IFERROR(INDEX(Referensi!$C$5:$C$60,MATCH(E327,Referensi!$A$5:$A$60,0)),"?"))</f>
        <v/>
      </c>
      <c r="G327" s="38" t="n"/>
      <c r="H327" s="59" t="n"/>
      <c r="I327" s="38" t="n"/>
      <c r="J327" s="39" t="n"/>
      <c r="K327" s="60">
        <f>IF(J327="","",SUMIFS(J$5:J327,D$5:D327,"Masuk")-SUMIFS(J$5:J327,D$5:D327,"Keluar"))</f>
        <v/>
      </c>
      <c r="L327" s="38" t="n"/>
      <c r="M327" s="38" t="n"/>
      <c r="N327" s="57">
        <f>IF(E327="","",IFERROR(IF(INDEX(Referensi!$B$5:$B$60,MATCH(E327,Referensi!$A$5:$A$60,0))=D327,"OK","Jenis tidak cocok"),"Kategori tidak dikenal"))</f>
        <v/>
      </c>
    </row>
    <row r="328" ht="15" customHeight="1" s="33">
      <c r="A328" s="57">
        <f>IF(B328="","",ROW()-4)</f>
        <v/>
      </c>
      <c r="B328" s="58" t="n"/>
      <c r="C328" s="38" t="n"/>
      <c r="D328" s="38" t="n"/>
      <c r="E328" s="38" t="n"/>
      <c r="F328" s="57">
        <f>IF(E328="","",IFERROR(INDEX(Referensi!$C$5:$C$60,MATCH(E328,Referensi!$A$5:$A$60,0)),"?"))</f>
        <v/>
      </c>
      <c r="G328" s="38" t="n"/>
      <c r="H328" s="59" t="n"/>
      <c r="I328" s="38" t="n"/>
      <c r="J328" s="39" t="n"/>
      <c r="K328" s="60">
        <f>IF(J328="","",SUMIFS(J$5:J328,D$5:D328,"Masuk")-SUMIFS(J$5:J328,D$5:D328,"Keluar"))</f>
        <v/>
      </c>
      <c r="L328" s="38" t="n"/>
      <c r="M328" s="38" t="n"/>
      <c r="N328" s="57">
        <f>IF(E328="","",IFERROR(IF(INDEX(Referensi!$B$5:$B$60,MATCH(E328,Referensi!$A$5:$A$60,0))=D328,"OK","Jenis tidak cocok"),"Kategori tidak dikenal"))</f>
        <v/>
      </c>
    </row>
    <row r="329" ht="15" customHeight="1" s="33">
      <c r="A329" s="57">
        <f>IF(B329="","",ROW()-4)</f>
        <v/>
      </c>
      <c r="B329" s="58" t="n"/>
      <c r="C329" s="38" t="n"/>
      <c r="D329" s="38" t="n"/>
      <c r="E329" s="38" t="n"/>
      <c r="F329" s="57">
        <f>IF(E329="","",IFERROR(INDEX(Referensi!$C$5:$C$60,MATCH(E329,Referensi!$A$5:$A$60,0)),"?"))</f>
        <v/>
      </c>
      <c r="G329" s="38" t="n"/>
      <c r="H329" s="59" t="n"/>
      <c r="I329" s="38" t="n"/>
      <c r="J329" s="39" t="n"/>
      <c r="K329" s="60">
        <f>IF(J329="","",SUMIFS(J$5:J329,D$5:D329,"Masuk")-SUMIFS(J$5:J329,D$5:D329,"Keluar"))</f>
        <v/>
      </c>
      <c r="L329" s="38" t="n"/>
      <c r="M329" s="38" t="n"/>
      <c r="N329" s="57">
        <f>IF(E329="","",IFERROR(IF(INDEX(Referensi!$B$5:$B$60,MATCH(E329,Referensi!$A$5:$A$60,0))=D329,"OK","Jenis tidak cocok"),"Kategori tidak dikenal"))</f>
        <v/>
      </c>
    </row>
    <row r="330" ht="15" customHeight="1" s="33">
      <c r="A330" s="57">
        <f>IF(B330="","",ROW()-4)</f>
        <v/>
      </c>
      <c r="B330" s="58" t="n"/>
      <c r="C330" s="38" t="n"/>
      <c r="D330" s="38" t="n"/>
      <c r="E330" s="38" t="n"/>
      <c r="F330" s="57">
        <f>IF(E330="","",IFERROR(INDEX(Referensi!$C$5:$C$60,MATCH(E330,Referensi!$A$5:$A$60,0)),"?"))</f>
        <v/>
      </c>
      <c r="G330" s="38" t="n"/>
      <c r="H330" s="59" t="n"/>
      <c r="I330" s="38" t="n"/>
      <c r="J330" s="39" t="n"/>
      <c r="K330" s="60">
        <f>IF(J330="","",SUMIFS(J$5:J330,D$5:D330,"Masuk")-SUMIFS(J$5:J330,D$5:D330,"Keluar"))</f>
        <v/>
      </c>
      <c r="L330" s="38" t="n"/>
      <c r="M330" s="38" t="n"/>
      <c r="N330" s="57">
        <f>IF(E330="","",IFERROR(IF(INDEX(Referensi!$B$5:$B$60,MATCH(E330,Referensi!$A$5:$A$60,0))=D330,"OK","Jenis tidak cocok"),"Kategori tidak dikenal"))</f>
        <v/>
      </c>
    </row>
    <row r="331" ht="15" customHeight="1" s="33">
      <c r="A331" s="57">
        <f>IF(B331="","",ROW()-4)</f>
        <v/>
      </c>
      <c r="B331" s="58" t="n"/>
      <c r="C331" s="38" t="n"/>
      <c r="D331" s="38" t="n"/>
      <c r="E331" s="38" t="n"/>
      <c r="F331" s="57">
        <f>IF(E331="","",IFERROR(INDEX(Referensi!$C$5:$C$60,MATCH(E331,Referensi!$A$5:$A$60,0)),"?"))</f>
        <v/>
      </c>
      <c r="G331" s="38" t="n"/>
      <c r="H331" s="59" t="n"/>
      <c r="I331" s="38" t="n"/>
      <c r="J331" s="39" t="n"/>
      <c r="K331" s="60">
        <f>IF(J331="","",SUMIFS(J$5:J331,D$5:D331,"Masuk")-SUMIFS(J$5:J331,D$5:D331,"Keluar"))</f>
        <v/>
      </c>
      <c r="L331" s="38" t="n"/>
      <c r="M331" s="38" t="n"/>
      <c r="N331" s="57">
        <f>IF(E331="","",IFERROR(IF(INDEX(Referensi!$B$5:$B$60,MATCH(E331,Referensi!$A$5:$A$60,0))=D331,"OK","Jenis tidak cocok"),"Kategori tidak dikenal"))</f>
        <v/>
      </c>
    </row>
    <row r="332" ht="15" customHeight="1" s="33">
      <c r="A332" s="57">
        <f>IF(B332="","",ROW()-4)</f>
        <v/>
      </c>
      <c r="B332" s="58" t="n"/>
      <c r="C332" s="38" t="n"/>
      <c r="D332" s="38" t="n"/>
      <c r="E332" s="38" t="n"/>
      <c r="F332" s="57">
        <f>IF(E332="","",IFERROR(INDEX(Referensi!$C$5:$C$60,MATCH(E332,Referensi!$A$5:$A$60,0)),"?"))</f>
        <v/>
      </c>
      <c r="G332" s="38" t="n"/>
      <c r="H332" s="59" t="n"/>
      <c r="I332" s="38" t="n"/>
      <c r="J332" s="39" t="n"/>
      <c r="K332" s="60">
        <f>IF(J332="","",SUMIFS(J$5:J332,D$5:D332,"Masuk")-SUMIFS(J$5:J332,D$5:D332,"Keluar"))</f>
        <v/>
      </c>
      <c r="L332" s="38" t="n"/>
      <c r="M332" s="38" t="n"/>
      <c r="N332" s="57">
        <f>IF(E332="","",IFERROR(IF(INDEX(Referensi!$B$5:$B$60,MATCH(E332,Referensi!$A$5:$A$60,0))=D332,"OK","Jenis tidak cocok"),"Kategori tidak dikenal"))</f>
        <v/>
      </c>
    </row>
    <row r="333" ht="15" customHeight="1" s="33">
      <c r="A333" s="57">
        <f>IF(B333="","",ROW()-4)</f>
        <v/>
      </c>
      <c r="B333" s="58" t="n"/>
      <c r="C333" s="38" t="n"/>
      <c r="D333" s="38" t="n"/>
      <c r="E333" s="38" t="n"/>
      <c r="F333" s="57">
        <f>IF(E333="","",IFERROR(INDEX(Referensi!$C$5:$C$60,MATCH(E333,Referensi!$A$5:$A$60,0)),"?"))</f>
        <v/>
      </c>
      <c r="G333" s="38" t="n"/>
      <c r="H333" s="59" t="n"/>
      <c r="I333" s="38" t="n"/>
      <c r="J333" s="39" t="n"/>
      <c r="K333" s="60">
        <f>IF(J333="","",SUMIFS(J$5:J333,D$5:D333,"Masuk")-SUMIFS(J$5:J333,D$5:D333,"Keluar"))</f>
        <v/>
      </c>
      <c r="L333" s="38" t="n"/>
      <c r="M333" s="38" t="n"/>
      <c r="N333" s="57">
        <f>IF(E333="","",IFERROR(IF(INDEX(Referensi!$B$5:$B$60,MATCH(E333,Referensi!$A$5:$A$60,0))=D333,"OK","Jenis tidak cocok"),"Kategori tidak dikenal"))</f>
        <v/>
      </c>
    </row>
    <row r="334" ht="15" customHeight="1" s="33">
      <c r="A334" s="57">
        <f>IF(B334="","",ROW()-4)</f>
        <v/>
      </c>
      <c r="B334" s="58" t="n"/>
      <c r="C334" s="38" t="n"/>
      <c r="D334" s="38" t="n"/>
      <c r="E334" s="38" t="n"/>
      <c r="F334" s="57">
        <f>IF(E334="","",IFERROR(INDEX(Referensi!$C$5:$C$60,MATCH(E334,Referensi!$A$5:$A$60,0)),"?"))</f>
        <v/>
      </c>
      <c r="G334" s="38" t="n"/>
      <c r="H334" s="59" t="n"/>
      <c r="I334" s="38" t="n"/>
      <c r="J334" s="39" t="n"/>
      <c r="K334" s="60">
        <f>IF(J334="","",SUMIFS(J$5:J334,D$5:D334,"Masuk")-SUMIFS(J$5:J334,D$5:D334,"Keluar"))</f>
        <v/>
      </c>
      <c r="L334" s="38" t="n"/>
      <c r="M334" s="38" t="n"/>
      <c r="N334" s="57">
        <f>IF(E334="","",IFERROR(IF(INDEX(Referensi!$B$5:$B$60,MATCH(E334,Referensi!$A$5:$A$60,0))=D334,"OK","Jenis tidak cocok"),"Kategori tidak dikenal"))</f>
        <v/>
      </c>
    </row>
    <row r="335" ht="15" customHeight="1" s="33">
      <c r="A335" s="57">
        <f>IF(B335="","",ROW()-4)</f>
        <v/>
      </c>
      <c r="B335" s="58" t="n"/>
      <c r="C335" s="38" t="n"/>
      <c r="D335" s="38" t="n"/>
      <c r="E335" s="38" t="n"/>
      <c r="F335" s="57">
        <f>IF(E335="","",IFERROR(INDEX(Referensi!$C$5:$C$60,MATCH(E335,Referensi!$A$5:$A$60,0)),"?"))</f>
        <v/>
      </c>
      <c r="G335" s="38" t="n"/>
      <c r="H335" s="59" t="n"/>
      <c r="I335" s="38" t="n"/>
      <c r="J335" s="39" t="n"/>
      <c r="K335" s="60">
        <f>IF(J335="","",SUMIFS(J$5:J335,D$5:D335,"Masuk")-SUMIFS(J$5:J335,D$5:D335,"Keluar"))</f>
        <v/>
      </c>
      <c r="L335" s="38" t="n"/>
      <c r="M335" s="38" t="n"/>
      <c r="N335" s="57">
        <f>IF(E335="","",IFERROR(IF(INDEX(Referensi!$B$5:$B$60,MATCH(E335,Referensi!$A$5:$A$60,0))=D335,"OK","Jenis tidak cocok"),"Kategori tidak dikenal"))</f>
        <v/>
      </c>
    </row>
    <row r="336" ht="15" customHeight="1" s="33">
      <c r="A336" s="57">
        <f>IF(B336="","",ROW()-4)</f>
        <v/>
      </c>
      <c r="B336" s="58" t="n"/>
      <c r="C336" s="38" t="n"/>
      <c r="D336" s="38" t="n"/>
      <c r="E336" s="38" t="n"/>
      <c r="F336" s="57">
        <f>IF(E336="","",IFERROR(INDEX(Referensi!$C$5:$C$60,MATCH(E336,Referensi!$A$5:$A$60,0)),"?"))</f>
        <v/>
      </c>
      <c r="G336" s="38" t="n"/>
      <c r="H336" s="59" t="n"/>
      <c r="I336" s="38" t="n"/>
      <c r="J336" s="39" t="n"/>
      <c r="K336" s="60">
        <f>IF(J336="","",SUMIFS(J$5:J336,D$5:D336,"Masuk")-SUMIFS(J$5:J336,D$5:D336,"Keluar"))</f>
        <v/>
      </c>
      <c r="L336" s="38" t="n"/>
      <c r="M336" s="38" t="n"/>
      <c r="N336" s="57">
        <f>IF(E336="","",IFERROR(IF(INDEX(Referensi!$B$5:$B$60,MATCH(E336,Referensi!$A$5:$A$60,0))=D336,"OK","Jenis tidak cocok"),"Kategori tidak dikenal"))</f>
        <v/>
      </c>
    </row>
    <row r="337" ht="15" customHeight="1" s="33">
      <c r="A337" s="57">
        <f>IF(B337="","",ROW()-4)</f>
        <v/>
      </c>
      <c r="B337" s="58" t="n"/>
      <c r="C337" s="38" t="n"/>
      <c r="D337" s="38" t="n"/>
      <c r="E337" s="38" t="n"/>
      <c r="F337" s="57">
        <f>IF(E337="","",IFERROR(INDEX(Referensi!$C$5:$C$60,MATCH(E337,Referensi!$A$5:$A$60,0)),"?"))</f>
        <v/>
      </c>
      <c r="G337" s="38" t="n"/>
      <c r="H337" s="59" t="n"/>
      <c r="I337" s="38" t="n"/>
      <c r="J337" s="39" t="n"/>
      <c r="K337" s="60">
        <f>IF(J337="","",SUMIFS(J$5:J337,D$5:D337,"Masuk")-SUMIFS(J$5:J337,D$5:D337,"Keluar"))</f>
        <v/>
      </c>
      <c r="L337" s="38" t="n"/>
      <c r="M337" s="38" t="n"/>
      <c r="N337" s="57">
        <f>IF(E337="","",IFERROR(IF(INDEX(Referensi!$B$5:$B$60,MATCH(E337,Referensi!$A$5:$A$60,0))=D337,"OK","Jenis tidak cocok"),"Kategori tidak dikenal"))</f>
        <v/>
      </c>
    </row>
    <row r="338" ht="15" customHeight="1" s="33">
      <c r="A338" s="57">
        <f>IF(B338="","",ROW()-4)</f>
        <v/>
      </c>
      <c r="B338" s="58" t="n"/>
      <c r="C338" s="38" t="n"/>
      <c r="D338" s="38" t="n"/>
      <c r="E338" s="38" t="n"/>
      <c r="F338" s="57">
        <f>IF(E338="","",IFERROR(INDEX(Referensi!$C$5:$C$60,MATCH(E338,Referensi!$A$5:$A$60,0)),"?"))</f>
        <v/>
      </c>
      <c r="G338" s="38" t="n"/>
      <c r="H338" s="59" t="n"/>
      <c r="I338" s="38" t="n"/>
      <c r="J338" s="39" t="n"/>
      <c r="K338" s="60">
        <f>IF(J338="","",SUMIFS(J$5:J338,D$5:D338,"Masuk")-SUMIFS(J$5:J338,D$5:D338,"Keluar"))</f>
        <v/>
      </c>
      <c r="L338" s="38" t="n"/>
      <c r="M338" s="38" t="n"/>
      <c r="N338" s="57">
        <f>IF(E338="","",IFERROR(IF(INDEX(Referensi!$B$5:$B$60,MATCH(E338,Referensi!$A$5:$A$60,0))=D338,"OK","Jenis tidak cocok"),"Kategori tidak dikenal"))</f>
        <v/>
      </c>
    </row>
    <row r="339" ht="15" customHeight="1" s="33">
      <c r="A339" s="57">
        <f>IF(B339="","",ROW()-4)</f>
        <v/>
      </c>
      <c r="B339" s="58" t="n"/>
      <c r="C339" s="38" t="n"/>
      <c r="D339" s="38" t="n"/>
      <c r="E339" s="38" t="n"/>
      <c r="F339" s="57">
        <f>IF(E339="","",IFERROR(INDEX(Referensi!$C$5:$C$60,MATCH(E339,Referensi!$A$5:$A$60,0)),"?"))</f>
        <v/>
      </c>
      <c r="G339" s="38" t="n"/>
      <c r="H339" s="59" t="n"/>
      <c r="I339" s="38" t="n"/>
      <c r="J339" s="39" t="n"/>
      <c r="K339" s="60">
        <f>IF(J339="","",SUMIFS(J$5:J339,D$5:D339,"Masuk")-SUMIFS(J$5:J339,D$5:D339,"Keluar"))</f>
        <v/>
      </c>
      <c r="L339" s="38" t="n"/>
      <c r="M339" s="38" t="n"/>
      <c r="N339" s="57">
        <f>IF(E339="","",IFERROR(IF(INDEX(Referensi!$B$5:$B$60,MATCH(E339,Referensi!$A$5:$A$60,0))=D339,"OK","Jenis tidak cocok"),"Kategori tidak dikenal"))</f>
        <v/>
      </c>
    </row>
    <row r="340" ht="15" customHeight="1" s="33">
      <c r="A340" s="57">
        <f>IF(B340="","",ROW()-4)</f>
        <v/>
      </c>
      <c r="B340" s="58" t="n"/>
      <c r="C340" s="38" t="n"/>
      <c r="D340" s="38" t="n"/>
      <c r="E340" s="38" t="n"/>
      <c r="F340" s="57">
        <f>IF(E340="","",IFERROR(INDEX(Referensi!$C$5:$C$60,MATCH(E340,Referensi!$A$5:$A$60,0)),"?"))</f>
        <v/>
      </c>
      <c r="G340" s="38" t="n"/>
      <c r="H340" s="59" t="n"/>
      <c r="I340" s="38" t="n"/>
      <c r="J340" s="39" t="n"/>
      <c r="K340" s="60">
        <f>IF(J340="","",SUMIFS(J$5:J340,D$5:D340,"Masuk")-SUMIFS(J$5:J340,D$5:D340,"Keluar"))</f>
        <v/>
      </c>
      <c r="L340" s="38" t="n"/>
      <c r="M340" s="38" t="n"/>
      <c r="N340" s="57">
        <f>IF(E340="","",IFERROR(IF(INDEX(Referensi!$B$5:$B$60,MATCH(E340,Referensi!$A$5:$A$60,0))=D340,"OK","Jenis tidak cocok"),"Kategori tidak dikenal"))</f>
        <v/>
      </c>
    </row>
    <row r="341" ht="15" customHeight="1" s="33">
      <c r="A341" s="57">
        <f>IF(B341="","",ROW()-4)</f>
        <v/>
      </c>
      <c r="B341" s="58" t="n"/>
      <c r="C341" s="38" t="n"/>
      <c r="D341" s="38" t="n"/>
      <c r="E341" s="38" t="n"/>
      <c r="F341" s="57">
        <f>IF(E341="","",IFERROR(INDEX(Referensi!$C$5:$C$60,MATCH(E341,Referensi!$A$5:$A$60,0)),"?"))</f>
        <v/>
      </c>
      <c r="G341" s="38" t="n"/>
      <c r="H341" s="59" t="n"/>
      <c r="I341" s="38" t="n"/>
      <c r="J341" s="39" t="n"/>
      <c r="K341" s="60">
        <f>IF(J341="","",SUMIFS(J$5:J341,D$5:D341,"Masuk")-SUMIFS(J$5:J341,D$5:D341,"Keluar"))</f>
        <v/>
      </c>
      <c r="L341" s="38" t="n"/>
      <c r="M341" s="38" t="n"/>
      <c r="N341" s="57">
        <f>IF(E341="","",IFERROR(IF(INDEX(Referensi!$B$5:$B$60,MATCH(E341,Referensi!$A$5:$A$60,0))=D341,"OK","Jenis tidak cocok"),"Kategori tidak dikenal"))</f>
        <v/>
      </c>
    </row>
    <row r="342" ht="15" customHeight="1" s="33">
      <c r="A342" s="57">
        <f>IF(B342="","",ROW()-4)</f>
        <v/>
      </c>
      <c r="B342" s="58" t="n"/>
      <c r="C342" s="38" t="n"/>
      <c r="D342" s="38" t="n"/>
      <c r="E342" s="38" t="n"/>
      <c r="F342" s="57">
        <f>IF(E342="","",IFERROR(INDEX(Referensi!$C$5:$C$60,MATCH(E342,Referensi!$A$5:$A$60,0)),"?"))</f>
        <v/>
      </c>
      <c r="G342" s="38" t="n"/>
      <c r="H342" s="59" t="n"/>
      <c r="I342" s="38" t="n"/>
      <c r="J342" s="39" t="n"/>
      <c r="K342" s="60">
        <f>IF(J342="","",SUMIFS(J$5:J342,D$5:D342,"Masuk")-SUMIFS(J$5:J342,D$5:D342,"Keluar"))</f>
        <v/>
      </c>
      <c r="L342" s="38" t="n"/>
      <c r="M342" s="38" t="n"/>
      <c r="N342" s="57">
        <f>IF(E342="","",IFERROR(IF(INDEX(Referensi!$B$5:$B$60,MATCH(E342,Referensi!$A$5:$A$60,0))=D342,"OK","Jenis tidak cocok"),"Kategori tidak dikenal"))</f>
        <v/>
      </c>
    </row>
    <row r="343" ht="15" customHeight="1" s="33">
      <c r="A343" s="57">
        <f>IF(B343="","",ROW()-4)</f>
        <v/>
      </c>
      <c r="B343" s="58" t="n"/>
      <c r="C343" s="38" t="n"/>
      <c r="D343" s="38" t="n"/>
      <c r="E343" s="38" t="n"/>
      <c r="F343" s="57">
        <f>IF(E343="","",IFERROR(INDEX(Referensi!$C$5:$C$60,MATCH(E343,Referensi!$A$5:$A$60,0)),"?"))</f>
        <v/>
      </c>
      <c r="G343" s="38" t="n"/>
      <c r="H343" s="59" t="n"/>
      <c r="I343" s="38" t="n"/>
      <c r="J343" s="39" t="n"/>
      <c r="K343" s="60">
        <f>IF(J343="","",SUMIFS(J$5:J343,D$5:D343,"Masuk")-SUMIFS(J$5:J343,D$5:D343,"Keluar"))</f>
        <v/>
      </c>
      <c r="L343" s="38" t="n"/>
      <c r="M343" s="38" t="n"/>
      <c r="N343" s="57">
        <f>IF(E343="","",IFERROR(IF(INDEX(Referensi!$B$5:$B$60,MATCH(E343,Referensi!$A$5:$A$60,0))=D343,"OK","Jenis tidak cocok"),"Kategori tidak dikenal"))</f>
        <v/>
      </c>
    </row>
    <row r="344" ht="15" customHeight="1" s="33">
      <c r="A344" s="57">
        <f>IF(B344="","",ROW()-4)</f>
        <v/>
      </c>
      <c r="B344" s="58" t="n"/>
      <c r="C344" s="38" t="n"/>
      <c r="D344" s="38" t="n"/>
      <c r="E344" s="38" t="n"/>
      <c r="F344" s="57">
        <f>IF(E344="","",IFERROR(INDEX(Referensi!$C$5:$C$60,MATCH(E344,Referensi!$A$5:$A$60,0)),"?"))</f>
        <v/>
      </c>
      <c r="G344" s="38" t="n"/>
      <c r="H344" s="59" t="n"/>
      <c r="I344" s="38" t="n"/>
      <c r="J344" s="39" t="n"/>
      <c r="K344" s="60">
        <f>IF(J344="","",SUMIFS(J$5:J344,D$5:D344,"Masuk")-SUMIFS(J$5:J344,D$5:D344,"Keluar"))</f>
        <v/>
      </c>
      <c r="L344" s="38" t="n"/>
      <c r="M344" s="38" t="n"/>
      <c r="N344" s="57">
        <f>IF(E344="","",IFERROR(IF(INDEX(Referensi!$B$5:$B$60,MATCH(E344,Referensi!$A$5:$A$60,0))=D344,"OK","Jenis tidak cocok"),"Kategori tidak dikenal"))</f>
        <v/>
      </c>
    </row>
    <row r="345" ht="15" customHeight="1" s="33">
      <c r="A345" s="57">
        <f>IF(B345="","",ROW()-4)</f>
        <v/>
      </c>
      <c r="B345" s="58" t="n"/>
      <c r="C345" s="38" t="n"/>
      <c r="D345" s="38" t="n"/>
      <c r="E345" s="38" t="n"/>
      <c r="F345" s="57">
        <f>IF(E345="","",IFERROR(INDEX(Referensi!$C$5:$C$60,MATCH(E345,Referensi!$A$5:$A$60,0)),"?"))</f>
        <v/>
      </c>
      <c r="G345" s="38" t="n"/>
      <c r="H345" s="59" t="n"/>
      <c r="I345" s="38" t="n"/>
      <c r="J345" s="39" t="n"/>
      <c r="K345" s="60">
        <f>IF(J345="","",SUMIFS(J$5:J345,D$5:D345,"Masuk")-SUMIFS(J$5:J345,D$5:D345,"Keluar"))</f>
        <v/>
      </c>
      <c r="L345" s="38" t="n"/>
      <c r="M345" s="38" t="n"/>
      <c r="N345" s="57">
        <f>IF(E345="","",IFERROR(IF(INDEX(Referensi!$B$5:$B$60,MATCH(E345,Referensi!$A$5:$A$60,0))=D345,"OK","Jenis tidak cocok"),"Kategori tidak dikenal"))</f>
        <v/>
      </c>
    </row>
    <row r="346" ht="15" customHeight="1" s="33">
      <c r="A346" s="57">
        <f>IF(B346="","",ROW()-4)</f>
        <v/>
      </c>
      <c r="B346" s="58" t="n"/>
      <c r="C346" s="38" t="n"/>
      <c r="D346" s="38" t="n"/>
      <c r="E346" s="38" t="n"/>
      <c r="F346" s="57">
        <f>IF(E346="","",IFERROR(INDEX(Referensi!$C$5:$C$60,MATCH(E346,Referensi!$A$5:$A$60,0)),"?"))</f>
        <v/>
      </c>
      <c r="G346" s="38" t="n"/>
      <c r="H346" s="59" t="n"/>
      <c r="I346" s="38" t="n"/>
      <c r="J346" s="39" t="n"/>
      <c r="K346" s="60">
        <f>IF(J346="","",SUMIFS(J$5:J346,D$5:D346,"Masuk")-SUMIFS(J$5:J346,D$5:D346,"Keluar"))</f>
        <v/>
      </c>
      <c r="L346" s="38" t="n"/>
      <c r="M346" s="38" t="n"/>
      <c r="N346" s="57">
        <f>IF(E346="","",IFERROR(IF(INDEX(Referensi!$B$5:$B$60,MATCH(E346,Referensi!$A$5:$A$60,0))=D346,"OK","Jenis tidak cocok"),"Kategori tidak dikenal"))</f>
        <v/>
      </c>
    </row>
    <row r="347" ht="15" customHeight="1" s="33">
      <c r="A347" s="57">
        <f>IF(B347="","",ROW()-4)</f>
        <v/>
      </c>
      <c r="B347" s="58" t="n"/>
      <c r="C347" s="38" t="n"/>
      <c r="D347" s="38" t="n"/>
      <c r="E347" s="38" t="n"/>
      <c r="F347" s="57">
        <f>IF(E347="","",IFERROR(INDEX(Referensi!$C$5:$C$60,MATCH(E347,Referensi!$A$5:$A$60,0)),"?"))</f>
        <v/>
      </c>
      <c r="G347" s="38" t="n"/>
      <c r="H347" s="59" t="n"/>
      <c r="I347" s="38" t="n"/>
      <c r="J347" s="39" t="n"/>
      <c r="K347" s="60">
        <f>IF(J347="","",SUMIFS(J$5:J347,D$5:D347,"Masuk")-SUMIFS(J$5:J347,D$5:D347,"Keluar"))</f>
        <v/>
      </c>
      <c r="L347" s="38" t="n"/>
      <c r="M347" s="38" t="n"/>
      <c r="N347" s="57">
        <f>IF(E347="","",IFERROR(IF(INDEX(Referensi!$B$5:$B$60,MATCH(E347,Referensi!$A$5:$A$60,0))=D347,"OK","Jenis tidak cocok"),"Kategori tidak dikenal"))</f>
        <v/>
      </c>
    </row>
    <row r="348" ht="15" customHeight="1" s="33">
      <c r="A348" s="57">
        <f>IF(B348="","",ROW()-4)</f>
        <v/>
      </c>
      <c r="B348" s="58" t="n"/>
      <c r="C348" s="38" t="n"/>
      <c r="D348" s="38" t="n"/>
      <c r="E348" s="38" t="n"/>
      <c r="F348" s="57">
        <f>IF(E348="","",IFERROR(INDEX(Referensi!$C$5:$C$60,MATCH(E348,Referensi!$A$5:$A$60,0)),"?"))</f>
        <v/>
      </c>
      <c r="G348" s="38" t="n"/>
      <c r="H348" s="59" t="n"/>
      <c r="I348" s="38" t="n"/>
      <c r="J348" s="39" t="n"/>
      <c r="K348" s="60">
        <f>IF(J348="","",SUMIFS(J$5:J348,D$5:D348,"Masuk")-SUMIFS(J$5:J348,D$5:D348,"Keluar"))</f>
        <v/>
      </c>
      <c r="L348" s="38" t="n"/>
      <c r="M348" s="38" t="n"/>
      <c r="N348" s="57">
        <f>IF(E348="","",IFERROR(IF(INDEX(Referensi!$B$5:$B$60,MATCH(E348,Referensi!$A$5:$A$60,0))=D348,"OK","Jenis tidak cocok"),"Kategori tidak dikenal"))</f>
        <v/>
      </c>
    </row>
    <row r="349" ht="15" customHeight="1" s="33">
      <c r="A349" s="57">
        <f>IF(B349="","",ROW()-4)</f>
        <v/>
      </c>
      <c r="B349" s="58" t="n"/>
      <c r="C349" s="38" t="n"/>
      <c r="D349" s="38" t="n"/>
      <c r="E349" s="38" t="n"/>
      <c r="F349" s="57">
        <f>IF(E349="","",IFERROR(INDEX(Referensi!$C$5:$C$60,MATCH(E349,Referensi!$A$5:$A$60,0)),"?"))</f>
        <v/>
      </c>
      <c r="G349" s="38" t="n"/>
      <c r="H349" s="59" t="n"/>
      <c r="I349" s="38" t="n"/>
      <c r="J349" s="39" t="n"/>
      <c r="K349" s="60">
        <f>IF(J349="","",SUMIFS(J$5:J349,D$5:D349,"Masuk")-SUMIFS(J$5:J349,D$5:D349,"Keluar"))</f>
        <v/>
      </c>
      <c r="L349" s="38" t="n"/>
      <c r="M349" s="38" t="n"/>
      <c r="N349" s="57">
        <f>IF(E349="","",IFERROR(IF(INDEX(Referensi!$B$5:$B$60,MATCH(E349,Referensi!$A$5:$A$60,0))=D349,"OK","Jenis tidak cocok"),"Kategori tidak dikenal"))</f>
        <v/>
      </c>
    </row>
    <row r="350" ht="15" customHeight="1" s="33">
      <c r="A350" s="57">
        <f>IF(B350="","",ROW()-4)</f>
        <v/>
      </c>
      <c r="B350" s="58" t="n"/>
      <c r="C350" s="38" t="n"/>
      <c r="D350" s="38" t="n"/>
      <c r="E350" s="38" t="n"/>
      <c r="F350" s="57">
        <f>IF(E350="","",IFERROR(INDEX(Referensi!$C$5:$C$60,MATCH(E350,Referensi!$A$5:$A$60,0)),"?"))</f>
        <v/>
      </c>
      <c r="G350" s="38" t="n"/>
      <c r="H350" s="59" t="n"/>
      <c r="I350" s="38" t="n"/>
      <c r="J350" s="39" t="n"/>
      <c r="K350" s="60">
        <f>IF(J350="","",SUMIFS(J$5:J350,D$5:D350,"Masuk")-SUMIFS(J$5:J350,D$5:D350,"Keluar"))</f>
        <v/>
      </c>
      <c r="L350" s="38" t="n"/>
      <c r="M350" s="38" t="n"/>
      <c r="N350" s="57">
        <f>IF(E350="","",IFERROR(IF(INDEX(Referensi!$B$5:$B$60,MATCH(E350,Referensi!$A$5:$A$60,0))=D350,"OK","Jenis tidak cocok"),"Kategori tidak dikenal"))</f>
        <v/>
      </c>
    </row>
    <row r="351" ht="15" customHeight="1" s="33">
      <c r="A351" s="57">
        <f>IF(B351="","",ROW()-4)</f>
        <v/>
      </c>
      <c r="B351" s="58" t="n"/>
      <c r="C351" s="38" t="n"/>
      <c r="D351" s="38" t="n"/>
      <c r="E351" s="38" t="n"/>
      <c r="F351" s="57">
        <f>IF(E351="","",IFERROR(INDEX(Referensi!$C$5:$C$60,MATCH(E351,Referensi!$A$5:$A$60,0)),"?"))</f>
        <v/>
      </c>
      <c r="G351" s="38" t="n"/>
      <c r="H351" s="59" t="n"/>
      <c r="I351" s="38" t="n"/>
      <c r="J351" s="39" t="n"/>
      <c r="K351" s="60">
        <f>IF(J351="","",SUMIFS(J$5:J351,D$5:D351,"Masuk")-SUMIFS(J$5:J351,D$5:D351,"Keluar"))</f>
        <v/>
      </c>
      <c r="L351" s="38" t="n"/>
      <c r="M351" s="38" t="n"/>
      <c r="N351" s="57">
        <f>IF(E351="","",IFERROR(IF(INDEX(Referensi!$B$5:$B$60,MATCH(E351,Referensi!$A$5:$A$60,0))=D351,"OK","Jenis tidak cocok"),"Kategori tidak dikenal"))</f>
        <v/>
      </c>
    </row>
    <row r="352" ht="15" customHeight="1" s="33">
      <c r="A352" s="57">
        <f>IF(B352="","",ROW()-4)</f>
        <v/>
      </c>
      <c r="B352" s="58" t="n"/>
      <c r="C352" s="38" t="n"/>
      <c r="D352" s="38" t="n"/>
      <c r="E352" s="38" t="n"/>
      <c r="F352" s="57">
        <f>IF(E352="","",IFERROR(INDEX(Referensi!$C$5:$C$60,MATCH(E352,Referensi!$A$5:$A$60,0)),"?"))</f>
        <v/>
      </c>
      <c r="G352" s="38" t="n"/>
      <c r="H352" s="59" t="n"/>
      <c r="I352" s="38" t="n"/>
      <c r="J352" s="39" t="n"/>
      <c r="K352" s="60">
        <f>IF(J352="","",SUMIFS(J$5:J352,D$5:D352,"Masuk")-SUMIFS(J$5:J352,D$5:D352,"Keluar"))</f>
        <v/>
      </c>
      <c r="L352" s="38" t="n"/>
      <c r="M352" s="38" t="n"/>
      <c r="N352" s="57">
        <f>IF(E352="","",IFERROR(IF(INDEX(Referensi!$B$5:$B$60,MATCH(E352,Referensi!$A$5:$A$60,0))=D352,"OK","Jenis tidak cocok"),"Kategori tidak dikenal"))</f>
        <v/>
      </c>
    </row>
    <row r="353" ht="15" customHeight="1" s="33">
      <c r="A353" s="57">
        <f>IF(B353="","",ROW()-4)</f>
        <v/>
      </c>
      <c r="B353" s="58" t="n"/>
      <c r="C353" s="38" t="n"/>
      <c r="D353" s="38" t="n"/>
      <c r="E353" s="38" t="n"/>
      <c r="F353" s="57">
        <f>IF(E353="","",IFERROR(INDEX(Referensi!$C$5:$C$60,MATCH(E353,Referensi!$A$5:$A$60,0)),"?"))</f>
        <v/>
      </c>
      <c r="G353" s="38" t="n"/>
      <c r="H353" s="59" t="n"/>
      <c r="I353" s="38" t="n"/>
      <c r="J353" s="39" t="n"/>
      <c r="K353" s="60">
        <f>IF(J353="","",SUMIFS(J$5:J353,D$5:D353,"Masuk")-SUMIFS(J$5:J353,D$5:D353,"Keluar"))</f>
        <v/>
      </c>
      <c r="L353" s="38" t="n"/>
      <c r="M353" s="38" t="n"/>
      <c r="N353" s="57">
        <f>IF(E353="","",IFERROR(IF(INDEX(Referensi!$B$5:$B$60,MATCH(E353,Referensi!$A$5:$A$60,0))=D353,"OK","Jenis tidak cocok"),"Kategori tidak dikenal"))</f>
        <v/>
      </c>
    </row>
    <row r="354" ht="15" customHeight="1" s="33">
      <c r="A354" s="57">
        <f>IF(B354="","",ROW()-4)</f>
        <v/>
      </c>
      <c r="B354" s="58" t="n"/>
      <c r="C354" s="38" t="n"/>
      <c r="D354" s="38" t="n"/>
      <c r="E354" s="38" t="n"/>
      <c r="F354" s="57">
        <f>IF(E354="","",IFERROR(INDEX(Referensi!$C$5:$C$60,MATCH(E354,Referensi!$A$5:$A$60,0)),"?"))</f>
        <v/>
      </c>
      <c r="G354" s="38" t="n"/>
      <c r="H354" s="59" t="n"/>
      <c r="I354" s="38" t="n"/>
      <c r="J354" s="39" t="n"/>
      <c r="K354" s="60">
        <f>IF(J354="","",SUMIFS(J$5:J354,D$5:D354,"Masuk")-SUMIFS(J$5:J354,D$5:D354,"Keluar"))</f>
        <v/>
      </c>
      <c r="L354" s="38" t="n"/>
      <c r="M354" s="38" t="n"/>
      <c r="N354" s="57">
        <f>IF(E354="","",IFERROR(IF(INDEX(Referensi!$B$5:$B$60,MATCH(E354,Referensi!$A$5:$A$60,0))=D354,"OK","Jenis tidak cocok"),"Kategori tidak dikenal"))</f>
        <v/>
      </c>
    </row>
    <row r="355" ht="15" customHeight="1" s="33">
      <c r="A355" s="57">
        <f>IF(B355="","",ROW()-4)</f>
        <v/>
      </c>
      <c r="B355" s="58" t="n"/>
      <c r="C355" s="38" t="n"/>
      <c r="D355" s="38" t="n"/>
      <c r="E355" s="38" t="n"/>
      <c r="F355" s="57">
        <f>IF(E355="","",IFERROR(INDEX(Referensi!$C$5:$C$60,MATCH(E355,Referensi!$A$5:$A$60,0)),"?"))</f>
        <v/>
      </c>
      <c r="G355" s="38" t="n"/>
      <c r="H355" s="59" t="n"/>
      <c r="I355" s="38" t="n"/>
      <c r="J355" s="39" t="n"/>
      <c r="K355" s="60">
        <f>IF(J355="","",SUMIFS(J$5:J355,D$5:D355,"Masuk")-SUMIFS(J$5:J355,D$5:D355,"Keluar"))</f>
        <v/>
      </c>
      <c r="L355" s="38" t="n"/>
      <c r="M355" s="38" t="n"/>
      <c r="N355" s="57">
        <f>IF(E355="","",IFERROR(IF(INDEX(Referensi!$B$5:$B$60,MATCH(E355,Referensi!$A$5:$A$60,0))=D355,"OK","Jenis tidak cocok"),"Kategori tidak dikenal"))</f>
        <v/>
      </c>
    </row>
    <row r="356" ht="15" customHeight="1" s="33">
      <c r="A356" s="57">
        <f>IF(B356="","",ROW()-4)</f>
        <v/>
      </c>
      <c r="B356" s="58" t="n"/>
      <c r="C356" s="38" t="n"/>
      <c r="D356" s="38" t="n"/>
      <c r="E356" s="38" t="n"/>
      <c r="F356" s="57">
        <f>IF(E356="","",IFERROR(INDEX(Referensi!$C$5:$C$60,MATCH(E356,Referensi!$A$5:$A$60,0)),"?"))</f>
        <v/>
      </c>
      <c r="G356" s="38" t="n"/>
      <c r="H356" s="59" t="n"/>
      <c r="I356" s="38" t="n"/>
      <c r="J356" s="39" t="n"/>
      <c r="K356" s="60">
        <f>IF(J356="","",SUMIFS(J$5:J356,D$5:D356,"Masuk")-SUMIFS(J$5:J356,D$5:D356,"Keluar"))</f>
        <v/>
      </c>
      <c r="L356" s="38" t="n"/>
      <c r="M356" s="38" t="n"/>
      <c r="N356" s="57">
        <f>IF(E356="","",IFERROR(IF(INDEX(Referensi!$B$5:$B$60,MATCH(E356,Referensi!$A$5:$A$60,0))=D356,"OK","Jenis tidak cocok"),"Kategori tidak dikenal"))</f>
        <v/>
      </c>
    </row>
    <row r="357" ht="15" customHeight="1" s="33">
      <c r="A357" s="57">
        <f>IF(B357="","",ROW()-4)</f>
        <v/>
      </c>
      <c r="B357" s="58" t="n"/>
      <c r="C357" s="38" t="n"/>
      <c r="D357" s="38" t="n"/>
      <c r="E357" s="38" t="n"/>
      <c r="F357" s="57">
        <f>IF(E357="","",IFERROR(INDEX(Referensi!$C$5:$C$60,MATCH(E357,Referensi!$A$5:$A$60,0)),"?"))</f>
        <v/>
      </c>
      <c r="G357" s="38" t="n"/>
      <c r="H357" s="59" t="n"/>
      <c r="I357" s="38" t="n"/>
      <c r="J357" s="39" t="n"/>
      <c r="K357" s="60">
        <f>IF(J357="","",SUMIFS(J$5:J357,D$5:D357,"Masuk")-SUMIFS(J$5:J357,D$5:D357,"Keluar"))</f>
        <v/>
      </c>
      <c r="L357" s="38" t="n"/>
      <c r="M357" s="38" t="n"/>
      <c r="N357" s="57">
        <f>IF(E357="","",IFERROR(IF(INDEX(Referensi!$B$5:$B$60,MATCH(E357,Referensi!$A$5:$A$60,0))=D357,"OK","Jenis tidak cocok"),"Kategori tidak dikenal"))</f>
        <v/>
      </c>
    </row>
    <row r="358" ht="15" customHeight="1" s="33">
      <c r="A358" s="57">
        <f>IF(B358="","",ROW()-4)</f>
        <v/>
      </c>
      <c r="B358" s="58" t="n"/>
      <c r="C358" s="38" t="n"/>
      <c r="D358" s="38" t="n"/>
      <c r="E358" s="38" t="n"/>
      <c r="F358" s="57">
        <f>IF(E358="","",IFERROR(INDEX(Referensi!$C$5:$C$60,MATCH(E358,Referensi!$A$5:$A$60,0)),"?"))</f>
        <v/>
      </c>
      <c r="G358" s="38" t="n"/>
      <c r="H358" s="59" t="n"/>
      <c r="I358" s="38" t="n"/>
      <c r="J358" s="39" t="n"/>
      <c r="K358" s="60">
        <f>IF(J358="","",SUMIFS(J$5:J358,D$5:D358,"Masuk")-SUMIFS(J$5:J358,D$5:D358,"Keluar"))</f>
        <v/>
      </c>
      <c r="L358" s="38" t="n"/>
      <c r="M358" s="38" t="n"/>
      <c r="N358" s="57">
        <f>IF(E358="","",IFERROR(IF(INDEX(Referensi!$B$5:$B$60,MATCH(E358,Referensi!$A$5:$A$60,0))=D358,"OK","Jenis tidak cocok"),"Kategori tidak dikenal"))</f>
        <v/>
      </c>
    </row>
    <row r="359" ht="15" customHeight="1" s="33">
      <c r="A359" s="57">
        <f>IF(B359="","",ROW()-4)</f>
        <v/>
      </c>
      <c r="B359" s="58" t="n"/>
      <c r="C359" s="38" t="n"/>
      <c r="D359" s="38" t="n"/>
      <c r="E359" s="38" t="n"/>
      <c r="F359" s="57">
        <f>IF(E359="","",IFERROR(INDEX(Referensi!$C$5:$C$60,MATCH(E359,Referensi!$A$5:$A$60,0)),"?"))</f>
        <v/>
      </c>
      <c r="G359" s="38" t="n"/>
      <c r="H359" s="59" t="n"/>
      <c r="I359" s="38" t="n"/>
      <c r="J359" s="39" t="n"/>
      <c r="K359" s="60">
        <f>IF(J359="","",SUMIFS(J$5:J359,D$5:D359,"Masuk")-SUMIFS(J$5:J359,D$5:D359,"Keluar"))</f>
        <v/>
      </c>
      <c r="L359" s="38" t="n"/>
      <c r="M359" s="38" t="n"/>
      <c r="N359" s="57">
        <f>IF(E359="","",IFERROR(IF(INDEX(Referensi!$B$5:$B$60,MATCH(E359,Referensi!$A$5:$A$60,0))=D359,"OK","Jenis tidak cocok"),"Kategori tidak dikenal"))</f>
        <v/>
      </c>
    </row>
    <row r="360" ht="15" customHeight="1" s="33">
      <c r="A360" s="57">
        <f>IF(B360="","",ROW()-4)</f>
        <v/>
      </c>
      <c r="B360" s="58" t="n"/>
      <c r="C360" s="38" t="n"/>
      <c r="D360" s="38" t="n"/>
      <c r="E360" s="38" t="n"/>
      <c r="F360" s="57">
        <f>IF(E360="","",IFERROR(INDEX(Referensi!$C$5:$C$60,MATCH(E360,Referensi!$A$5:$A$60,0)),"?"))</f>
        <v/>
      </c>
      <c r="G360" s="38" t="n"/>
      <c r="H360" s="59" t="n"/>
      <c r="I360" s="38" t="n"/>
      <c r="J360" s="39" t="n"/>
      <c r="K360" s="60">
        <f>IF(J360="","",SUMIFS(J$5:J360,D$5:D360,"Masuk")-SUMIFS(J$5:J360,D$5:D360,"Keluar"))</f>
        <v/>
      </c>
      <c r="L360" s="38" t="n"/>
      <c r="M360" s="38" t="n"/>
      <c r="N360" s="57">
        <f>IF(E360="","",IFERROR(IF(INDEX(Referensi!$B$5:$B$60,MATCH(E360,Referensi!$A$5:$A$60,0))=D360,"OK","Jenis tidak cocok"),"Kategori tidak dikenal"))</f>
        <v/>
      </c>
    </row>
    <row r="361" ht="15" customHeight="1" s="33">
      <c r="A361" s="57">
        <f>IF(B361="","",ROW()-4)</f>
        <v/>
      </c>
      <c r="B361" s="58" t="n"/>
      <c r="C361" s="38" t="n"/>
      <c r="D361" s="38" t="n"/>
      <c r="E361" s="38" t="n"/>
      <c r="F361" s="57">
        <f>IF(E361="","",IFERROR(INDEX(Referensi!$C$5:$C$60,MATCH(E361,Referensi!$A$5:$A$60,0)),"?"))</f>
        <v/>
      </c>
      <c r="G361" s="38" t="n"/>
      <c r="H361" s="59" t="n"/>
      <c r="I361" s="38" t="n"/>
      <c r="J361" s="39" t="n"/>
      <c r="K361" s="60">
        <f>IF(J361="","",SUMIFS(J$5:J361,D$5:D361,"Masuk")-SUMIFS(J$5:J361,D$5:D361,"Keluar"))</f>
        <v/>
      </c>
      <c r="L361" s="38" t="n"/>
      <c r="M361" s="38" t="n"/>
      <c r="N361" s="57">
        <f>IF(E361="","",IFERROR(IF(INDEX(Referensi!$B$5:$B$60,MATCH(E361,Referensi!$A$5:$A$60,0))=D361,"OK","Jenis tidak cocok"),"Kategori tidak dikenal"))</f>
        <v/>
      </c>
    </row>
    <row r="362" ht="15" customHeight="1" s="33">
      <c r="A362" s="57">
        <f>IF(B362="","",ROW()-4)</f>
        <v/>
      </c>
      <c r="B362" s="58" t="n"/>
      <c r="C362" s="38" t="n"/>
      <c r="D362" s="38" t="n"/>
      <c r="E362" s="38" t="n"/>
      <c r="F362" s="57">
        <f>IF(E362="","",IFERROR(INDEX(Referensi!$C$5:$C$60,MATCH(E362,Referensi!$A$5:$A$60,0)),"?"))</f>
        <v/>
      </c>
      <c r="G362" s="38" t="n"/>
      <c r="H362" s="59" t="n"/>
      <c r="I362" s="38" t="n"/>
      <c r="J362" s="39" t="n"/>
      <c r="K362" s="60">
        <f>IF(J362="","",SUMIFS(J$5:J362,D$5:D362,"Masuk")-SUMIFS(J$5:J362,D$5:D362,"Keluar"))</f>
        <v/>
      </c>
      <c r="L362" s="38" t="n"/>
      <c r="M362" s="38" t="n"/>
      <c r="N362" s="57">
        <f>IF(E362="","",IFERROR(IF(INDEX(Referensi!$B$5:$B$60,MATCH(E362,Referensi!$A$5:$A$60,0))=D362,"OK","Jenis tidak cocok"),"Kategori tidak dikenal"))</f>
        <v/>
      </c>
    </row>
    <row r="363" ht="15" customHeight="1" s="33">
      <c r="A363" s="57">
        <f>IF(B363="","",ROW()-4)</f>
        <v/>
      </c>
      <c r="B363" s="58" t="n"/>
      <c r="C363" s="38" t="n"/>
      <c r="D363" s="38" t="n"/>
      <c r="E363" s="38" t="n"/>
      <c r="F363" s="57">
        <f>IF(E363="","",IFERROR(INDEX(Referensi!$C$5:$C$60,MATCH(E363,Referensi!$A$5:$A$60,0)),"?"))</f>
        <v/>
      </c>
      <c r="G363" s="38" t="n"/>
      <c r="H363" s="59" t="n"/>
      <c r="I363" s="38" t="n"/>
      <c r="J363" s="39" t="n"/>
      <c r="K363" s="60">
        <f>IF(J363="","",SUMIFS(J$5:J363,D$5:D363,"Masuk")-SUMIFS(J$5:J363,D$5:D363,"Keluar"))</f>
        <v/>
      </c>
      <c r="L363" s="38" t="n"/>
      <c r="M363" s="38" t="n"/>
      <c r="N363" s="57">
        <f>IF(E363="","",IFERROR(IF(INDEX(Referensi!$B$5:$B$60,MATCH(E363,Referensi!$A$5:$A$60,0))=D363,"OK","Jenis tidak cocok"),"Kategori tidak dikenal"))</f>
        <v/>
      </c>
    </row>
    <row r="364" ht="15" customHeight="1" s="33">
      <c r="A364" s="57">
        <f>IF(B364="","",ROW()-4)</f>
        <v/>
      </c>
      <c r="B364" s="58" t="n"/>
      <c r="C364" s="38" t="n"/>
      <c r="D364" s="38" t="n"/>
      <c r="E364" s="38" t="n"/>
      <c r="F364" s="57">
        <f>IF(E364="","",IFERROR(INDEX(Referensi!$C$5:$C$60,MATCH(E364,Referensi!$A$5:$A$60,0)),"?"))</f>
        <v/>
      </c>
      <c r="G364" s="38" t="n"/>
      <c r="H364" s="59" t="n"/>
      <c r="I364" s="38" t="n"/>
      <c r="J364" s="39" t="n"/>
      <c r="K364" s="60">
        <f>IF(J364="","",SUMIFS(J$5:J364,D$5:D364,"Masuk")-SUMIFS(J$5:J364,D$5:D364,"Keluar"))</f>
        <v/>
      </c>
      <c r="L364" s="38" t="n"/>
      <c r="M364" s="38" t="n"/>
      <c r="N364" s="57">
        <f>IF(E364="","",IFERROR(IF(INDEX(Referensi!$B$5:$B$60,MATCH(E364,Referensi!$A$5:$A$60,0))=D364,"OK","Jenis tidak cocok"),"Kategori tidak dikenal"))</f>
        <v/>
      </c>
    </row>
    <row r="365" ht="15" customHeight="1" s="33">
      <c r="A365" s="57">
        <f>IF(B365="","",ROW()-4)</f>
        <v/>
      </c>
      <c r="B365" s="58" t="n"/>
      <c r="C365" s="38" t="n"/>
      <c r="D365" s="38" t="n"/>
      <c r="E365" s="38" t="n"/>
      <c r="F365" s="57">
        <f>IF(E365="","",IFERROR(INDEX(Referensi!$C$5:$C$60,MATCH(E365,Referensi!$A$5:$A$60,0)),"?"))</f>
        <v/>
      </c>
      <c r="G365" s="38" t="n"/>
      <c r="H365" s="59" t="n"/>
      <c r="I365" s="38" t="n"/>
      <c r="J365" s="39" t="n"/>
      <c r="K365" s="60">
        <f>IF(J365="","",SUMIFS(J$5:J365,D$5:D365,"Masuk")-SUMIFS(J$5:J365,D$5:D365,"Keluar"))</f>
        <v/>
      </c>
      <c r="L365" s="38" t="n"/>
      <c r="M365" s="38" t="n"/>
      <c r="N365" s="57">
        <f>IF(E365="","",IFERROR(IF(INDEX(Referensi!$B$5:$B$60,MATCH(E365,Referensi!$A$5:$A$60,0))=D365,"OK","Jenis tidak cocok"),"Kategori tidak dikenal"))</f>
        <v/>
      </c>
    </row>
    <row r="366" ht="15" customHeight="1" s="33">
      <c r="A366" s="57">
        <f>IF(B366="","",ROW()-4)</f>
        <v/>
      </c>
      <c r="B366" s="58" t="n"/>
      <c r="C366" s="38" t="n"/>
      <c r="D366" s="38" t="n"/>
      <c r="E366" s="38" t="n"/>
      <c r="F366" s="57">
        <f>IF(E366="","",IFERROR(INDEX(Referensi!$C$5:$C$60,MATCH(E366,Referensi!$A$5:$A$60,0)),"?"))</f>
        <v/>
      </c>
      <c r="G366" s="38" t="n"/>
      <c r="H366" s="59" t="n"/>
      <c r="I366" s="38" t="n"/>
      <c r="J366" s="39" t="n"/>
      <c r="K366" s="60">
        <f>IF(J366="","",SUMIFS(J$5:J366,D$5:D366,"Masuk")-SUMIFS(J$5:J366,D$5:D366,"Keluar"))</f>
        <v/>
      </c>
      <c r="L366" s="38" t="n"/>
      <c r="M366" s="38" t="n"/>
      <c r="N366" s="57">
        <f>IF(E366="","",IFERROR(IF(INDEX(Referensi!$B$5:$B$60,MATCH(E366,Referensi!$A$5:$A$60,0))=D366,"OK","Jenis tidak cocok"),"Kategori tidak dikenal"))</f>
        <v/>
      </c>
    </row>
    <row r="367" ht="15" customHeight="1" s="33">
      <c r="A367" s="57">
        <f>IF(B367="","",ROW()-4)</f>
        <v/>
      </c>
      <c r="B367" s="58" t="n"/>
      <c r="C367" s="38" t="n"/>
      <c r="D367" s="38" t="n"/>
      <c r="E367" s="38" t="n"/>
      <c r="F367" s="57">
        <f>IF(E367="","",IFERROR(INDEX(Referensi!$C$5:$C$60,MATCH(E367,Referensi!$A$5:$A$60,0)),"?"))</f>
        <v/>
      </c>
      <c r="G367" s="38" t="n"/>
      <c r="H367" s="59" t="n"/>
      <c r="I367" s="38" t="n"/>
      <c r="J367" s="39" t="n"/>
      <c r="K367" s="60">
        <f>IF(J367="","",SUMIFS(J$5:J367,D$5:D367,"Masuk")-SUMIFS(J$5:J367,D$5:D367,"Keluar"))</f>
        <v/>
      </c>
      <c r="L367" s="38" t="n"/>
      <c r="M367" s="38" t="n"/>
      <c r="N367" s="57">
        <f>IF(E367="","",IFERROR(IF(INDEX(Referensi!$B$5:$B$60,MATCH(E367,Referensi!$A$5:$A$60,0))=D367,"OK","Jenis tidak cocok"),"Kategori tidak dikenal"))</f>
        <v/>
      </c>
    </row>
    <row r="368" ht="15" customHeight="1" s="33">
      <c r="A368" s="57">
        <f>IF(B368="","",ROW()-4)</f>
        <v/>
      </c>
      <c r="B368" s="58" t="n"/>
      <c r="C368" s="38" t="n"/>
      <c r="D368" s="38" t="n"/>
      <c r="E368" s="38" t="n"/>
      <c r="F368" s="57">
        <f>IF(E368="","",IFERROR(INDEX(Referensi!$C$5:$C$60,MATCH(E368,Referensi!$A$5:$A$60,0)),"?"))</f>
        <v/>
      </c>
      <c r="G368" s="38" t="n"/>
      <c r="H368" s="59" t="n"/>
      <c r="I368" s="38" t="n"/>
      <c r="J368" s="39" t="n"/>
      <c r="K368" s="60">
        <f>IF(J368="","",SUMIFS(J$5:J368,D$5:D368,"Masuk")-SUMIFS(J$5:J368,D$5:D368,"Keluar"))</f>
        <v/>
      </c>
      <c r="L368" s="38" t="n"/>
      <c r="M368" s="38" t="n"/>
      <c r="N368" s="57">
        <f>IF(E368="","",IFERROR(IF(INDEX(Referensi!$B$5:$B$60,MATCH(E368,Referensi!$A$5:$A$60,0))=D368,"OK","Jenis tidak cocok"),"Kategori tidak dikenal"))</f>
        <v/>
      </c>
    </row>
    <row r="369" ht="15" customHeight="1" s="33">
      <c r="A369" s="57">
        <f>IF(B369="","",ROW()-4)</f>
        <v/>
      </c>
      <c r="B369" s="58" t="n"/>
      <c r="C369" s="38" t="n"/>
      <c r="D369" s="38" t="n"/>
      <c r="E369" s="38" t="n"/>
      <c r="F369" s="57">
        <f>IF(E369="","",IFERROR(INDEX(Referensi!$C$5:$C$60,MATCH(E369,Referensi!$A$5:$A$60,0)),"?"))</f>
        <v/>
      </c>
      <c r="G369" s="38" t="n"/>
      <c r="H369" s="59" t="n"/>
      <c r="I369" s="38" t="n"/>
      <c r="J369" s="39" t="n"/>
      <c r="K369" s="60">
        <f>IF(J369="","",SUMIFS(J$5:J369,D$5:D369,"Masuk")-SUMIFS(J$5:J369,D$5:D369,"Keluar"))</f>
        <v/>
      </c>
      <c r="L369" s="38" t="n"/>
      <c r="M369" s="38" t="n"/>
      <c r="N369" s="57">
        <f>IF(E369="","",IFERROR(IF(INDEX(Referensi!$B$5:$B$60,MATCH(E369,Referensi!$A$5:$A$60,0))=D369,"OK","Jenis tidak cocok"),"Kategori tidak dikenal"))</f>
        <v/>
      </c>
    </row>
    <row r="370" ht="15" customHeight="1" s="33">
      <c r="A370" s="57">
        <f>IF(B370="","",ROW()-4)</f>
        <v/>
      </c>
      <c r="B370" s="58" t="n"/>
      <c r="C370" s="38" t="n"/>
      <c r="D370" s="38" t="n"/>
      <c r="E370" s="38" t="n"/>
      <c r="F370" s="57">
        <f>IF(E370="","",IFERROR(INDEX(Referensi!$C$5:$C$60,MATCH(E370,Referensi!$A$5:$A$60,0)),"?"))</f>
        <v/>
      </c>
      <c r="G370" s="38" t="n"/>
      <c r="H370" s="59" t="n"/>
      <c r="I370" s="38" t="n"/>
      <c r="J370" s="39" t="n"/>
      <c r="K370" s="60">
        <f>IF(J370="","",SUMIFS(J$5:J370,D$5:D370,"Masuk")-SUMIFS(J$5:J370,D$5:D370,"Keluar"))</f>
        <v/>
      </c>
      <c r="L370" s="38" t="n"/>
      <c r="M370" s="38" t="n"/>
      <c r="N370" s="57">
        <f>IF(E370="","",IFERROR(IF(INDEX(Referensi!$B$5:$B$60,MATCH(E370,Referensi!$A$5:$A$60,0))=D370,"OK","Jenis tidak cocok"),"Kategori tidak dikenal"))</f>
        <v/>
      </c>
    </row>
    <row r="371" ht="15" customHeight="1" s="33">
      <c r="A371" s="57">
        <f>IF(B371="","",ROW()-4)</f>
        <v/>
      </c>
      <c r="B371" s="58" t="n"/>
      <c r="C371" s="38" t="n"/>
      <c r="D371" s="38" t="n"/>
      <c r="E371" s="38" t="n"/>
      <c r="F371" s="57">
        <f>IF(E371="","",IFERROR(INDEX(Referensi!$C$5:$C$60,MATCH(E371,Referensi!$A$5:$A$60,0)),"?"))</f>
        <v/>
      </c>
      <c r="G371" s="38" t="n"/>
      <c r="H371" s="59" t="n"/>
      <c r="I371" s="38" t="n"/>
      <c r="J371" s="39" t="n"/>
      <c r="K371" s="60">
        <f>IF(J371="","",SUMIFS(J$5:J371,D$5:D371,"Masuk")-SUMIFS(J$5:J371,D$5:D371,"Keluar"))</f>
        <v/>
      </c>
      <c r="L371" s="38" t="n"/>
      <c r="M371" s="38" t="n"/>
      <c r="N371" s="57">
        <f>IF(E371="","",IFERROR(IF(INDEX(Referensi!$B$5:$B$60,MATCH(E371,Referensi!$A$5:$A$60,0))=D371,"OK","Jenis tidak cocok"),"Kategori tidak dikenal"))</f>
        <v/>
      </c>
    </row>
    <row r="372" ht="15" customHeight="1" s="33">
      <c r="A372" s="57">
        <f>IF(B372="","",ROW()-4)</f>
        <v/>
      </c>
      <c r="B372" s="58" t="n"/>
      <c r="C372" s="38" t="n"/>
      <c r="D372" s="38" t="n"/>
      <c r="E372" s="38" t="n"/>
      <c r="F372" s="57">
        <f>IF(E372="","",IFERROR(INDEX(Referensi!$C$5:$C$60,MATCH(E372,Referensi!$A$5:$A$60,0)),"?"))</f>
        <v/>
      </c>
      <c r="G372" s="38" t="n"/>
      <c r="H372" s="59" t="n"/>
      <c r="I372" s="38" t="n"/>
      <c r="J372" s="39" t="n"/>
      <c r="K372" s="60">
        <f>IF(J372="","",SUMIFS(J$5:J372,D$5:D372,"Masuk")-SUMIFS(J$5:J372,D$5:D372,"Keluar"))</f>
        <v/>
      </c>
      <c r="L372" s="38" t="n"/>
      <c r="M372" s="38" t="n"/>
      <c r="N372" s="57">
        <f>IF(E372="","",IFERROR(IF(INDEX(Referensi!$B$5:$B$60,MATCH(E372,Referensi!$A$5:$A$60,0))=D372,"OK","Jenis tidak cocok"),"Kategori tidak dikenal"))</f>
        <v/>
      </c>
    </row>
    <row r="373" ht="15" customHeight="1" s="33">
      <c r="A373" s="57">
        <f>IF(B373="","",ROW()-4)</f>
        <v/>
      </c>
      <c r="B373" s="58" t="n"/>
      <c r="C373" s="38" t="n"/>
      <c r="D373" s="38" t="n"/>
      <c r="E373" s="38" t="n"/>
      <c r="F373" s="57">
        <f>IF(E373="","",IFERROR(INDEX(Referensi!$C$5:$C$60,MATCH(E373,Referensi!$A$5:$A$60,0)),"?"))</f>
        <v/>
      </c>
      <c r="G373" s="38" t="n"/>
      <c r="H373" s="59" t="n"/>
      <c r="I373" s="38" t="n"/>
      <c r="J373" s="39" t="n"/>
      <c r="K373" s="60">
        <f>IF(J373="","",SUMIFS(J$5:J373,D$5:D373,"Masuk")-SUMIFS(J$5:J373,D$5:D373,"Keluar"))</f>
        <v/>
      </c>
      <c r="L373" s="38" t="n"/>
      <c r="M373" s="38" t="n"/>
      <c r="N373" s="57">
        <f>IF(E373="","",IFERROR(IF(INDEX(Referensi!$B$5:$B$60,MATCH(E373,Referensi!$A$5:$A$60,0))=D373,"OK","Jenis tidak cocok"),"Kategori tidak dikenal"))</f>
        <v/>
      </c>
    </row>
    <row r="374" ht="15" customHeight="1" s="33">
      <c r="A374" s="57">
        <f>IF(B374="","",ROW()-4)</f>
        <v/>
      </c>
      <c r="B374" s="58" t="n"/>
      <c r="C374" s="38" t="n"/>
      <c r="D374" s="38" t="n"/>
      <c r="E374" s="38" t="n"/>
      <c r="F374" s="57">
        <f>IF(E374="","",IFERROR(INDEX(Referensi!$C$5:$C$60,MATCH(E374,Referensi!$A$5:$A$60,0)),"?"))</f>
        <v/>
      </c>
      <c r="G374" s="38" t="n"/>
      <c r="H374" s="59" t="n"/>
      <c r="I374" s="38" t="n"/>
      <c r="J374" s="39" t="n"/>
      <c r="K374" s="60">
        <f>IF(J374="","",SUMIFS(J$5:J374,D$5:D374,"Masuk")-SUMIFS(J$5:J374,D$5:D374,"Keluar"))</f>
        <v/>
      </c>
      <c r="L374" s="38" t="n"/>
      <c r="M374" s="38" t="n"/>
      <c r="N374" s="57">
        <f>IF(E374="","",IFERROR(IF(INDEX(Referensi!$B$5:$B$60,MATCH(E374,Referensi!$A$5:$A$60,0))=D374,"OK","Jenis tidak cocok"),"Kategori tidak dikenal"))</f>
        <v/>
      </c>
    </row>
    <row r="375" ht="15" customHeight="1" s="33">
      <c r="A375" s="57">
        <f>IF(B375="","",ROW()-4)</f>
        <v/>
      </c>
      <c r="B375" s="58" t="n"/>
      <c r="C375" s="38" t="n"/>
      <c r="D375" s="38" t="n"/>
      <c r="E375" s="38" t="n"/>
      <c r="F375" s="57">
        <f>IF(E375="","",IFERROR(INDEX(Referensi!$C$5:$C$60,MATCH(E375,Referensi!$A$5:$A$60,0)),"?"))</f>
        <v/>
      </c>
      <c r="G375" s="38" t="n"/>
      <c r="H375" s="59" t="n"/>
      <c r="I375" s="38" t="n"/>
      <c r="J375" s="39" t="n"/>
      <c r="K375" s="60">
        <f>IF(J375="","",SUMIFS(J$5:J375,D$5:D375,"Masuk")-SUMIFS(J$5:J375,D$5:D375,"Keluar"))</f>
        <v/>
      </c>
      <c r="L375" s="38" t="n"/>
      <c r="M375" s="38" t="n"/>
      <c r="N375" s="57">
        <f>IF(E375="","",IFERROR(IF(INDEX(Referensi!$B$5:$B$60,MATCH(E375,Referensi!$A$5:$A$60,0))=D375,"OK","Jenis tidak cocok"),"Kategori tidak dikenal"))</f>
        <v/>
      </c>
    </row>
    <row r="376" ht="15" customHeight="1" s="33">
      <c r="A376" s="57">
        <f>IF(B376="","",ROW()-4)</f>
        <v/>
      </c>
      <c r="B376" s="58" t="n"/>
      <c r="C376" s="38" t="n"/>
      <c r="D376" s="38" t="n"/>
      <c r="E376" s="38" t="n"/>
      <c r="F376" s="57">
        <f>IF(E376="","",IFERROR(INDEX(Referensi!$C$5:$C$60,MATCH(E376,Referensi!$A$5:$A$60,0)),"?"))</f>
        <v/>
      </c>
      <c r="G376" s="38" t="n"/>
      <c r="H376" s="59" t="n"/>
      <c r="I376" s="38" t="n"/>
      <c r="J376" s="39" t="n"/>
      <c r="K376" s="60">
        <f>IF(J376="","",SUMIFS(J$5:J376,D$5:D376,"Masuk")-SUMIFS(J$5:J376,D$5:D376,"Keluar"))</f>
        <v/>
      </c>
      <c r="L376" s="38" t="n"/>
      <c r="M376" s="38" t="n"/>
      <c r="N376" s="57">
        <f>IF(E376="","",IFERROR(IF(INDEX(Referensi!$B$5:$B$60,MATCH(E376,Referensi!$A$5:$A$60,0))=D376,"OK","Jenis tidak cocok"),"Kategori tidak dikenal"))</f>
        <v/>
      </c>
    </row>
    <row r="377" ht="15" customHeight="1" s="33">
      <c r="A377" s="57">
        <f>IF(B377="","",ROW()-4)</f>
        <v/>
      </c>
      <c r="B377" s="58" t="n"/>
      <c r="C377" s="38" t="n"/>
      <c r="D377" s="38" t="n"/>
      <c r="E377" s="38" t="n"/>
      <c r="F377" s="57">
        <f>IF(E377="","",IFERROR(INDEX(Referensi!$C$5:$C$60,MATCH(E377,Referensi!$A$5:$A$60,0)),"?"))</f>
        <v/>
      </c>
      <c r="G377" s="38" t="n"/>
      <c r="H377" s="59" t="n"/>
      <c r="I377" s="38" t="n"/>
      <c r="J377" s="39" t="n"/>
      <c r="K377" s="60">
        <f>IF(J377="","",SUMIFS(J$5:J377,D$5:D377,"Masuk")-SUMIFS(J$5:J377,D$5:D377,"Keluar"))</f>
        <v/>
      </c>
      <c r="L377" s="38" t="n"/>
      <c r="M377" s="38" t="n"/>
      <c r="N377" s="57">
        <f>IF(E377="","",IFERROR(IF(INDEX(Referensi!$B$5:$B$60,MATCH(E377,Referensi!$A$5:$A$60,0))=D377,"OK","Jenis tidak cocok"),"Kategori tidak dikenal"))</f>
        <v/>
      </c>
    </row>
    <row r="378" ht="15" customHeight="1" s="33">
      <c r="A378" s="57">
        <f>IF(B378="","",ROW()-4)</f>
        <v/>
      </c>
      <c r="B378" s="58" t="n"/>
      <c r="C378" s="38" t="n"/>
      <c r="D378" s="38" t="n"/>
      <c r="E378" s="38" t="n"/>
      <c r="F378" s="57">
        <f>IF(E378="","",IFERROR(INDEX(Referensi!$C$5:$C$60,MATCH(E378,Referensi!$A$5:$A$60,0)),"?"))</f>
        <v/>
      </c>
      <c r="G378" s="38" t="n"/>
      <c r="H378" s="59" t="n"/>
      <c r="I378" s="38" t="n"/>
      <c r="J378" s="39" t="n"/>
      <c r="K378" s="60">
        <f>IF(J378="","",SUMIFS(J$5:J378,D$5:D378,"Masuk")-SUMIFS(J$5:J378,D$5:D378,"Keluar"))</f>
        <v/>
      </c>
      <c r="L378" s="38" t="n"/>
      <c r="M378" s="38" t="n"/>
      <c r="N378" s="57">
        <f>IF(E378="","",IFERROR(IF(INDEX(Referensi!$B$5:$B$60,MATCH(E378,Referensi!$A$5:$A$60,0))=D378,"OK","Jenis tidak cocok"),"Kategori tidak dikenal"))</f>
        <v/>
      </c>
    </row>
    <row r="379" ht="15" customHeight="1" s="33">
      <c r="A379" s="57">
        <f>IF(B379="","",ROW()-4)</f>
        <v/>
      </c>
      <c r="B379" s="58" t="n"/>
      <c r="C379" s="38" t="n"/>
      <c r="D379" s="38" t="n"/>
      <c r="E379" s="38" t="n"/>
      <c r="F379" s="57">
        <f>IF(E379="","",IFERROR(INDEX(Referensi!$C$5:$C$60,MATCH(E379,Referensi!$A$5:$A$60,0)),"?"))</f>
        <v/>
      </c>
      <c r="G379" s="38" t="n"/>
      <c r="H379" s="59" t="n"/>
      <c r="I379" s="38" t="n"/>
      <c r="J379" s="39" t="n"/>
      <c r="K379" s="60">
        <f>IF(J379="","",SUMIFS(J$5:J379,D$5:D379,"Masuk")-SUMIFS(J$5:J379,D$5:D379,"Keluar"))</f>
        <v/>
      </c>
      <c r="L379" s="38" t="n"/>
      <c r="M379" s="38" t="n"/>
      <c r="N379" s="57">
        <f>IF(E379="","",IFERROR(IF(INDEX(Referensi!$B$5:$B$60,MATCH(E379,Referensi!$A$5:$A$60,0))=D379,"OK","Jenis tidak cocok"),"Kategori tidak dikenal"))</f>
        <v/>
      </c>
    </row>
    <row r="380" ht="15" customHeight="1" s="33">
      <c r="A380" s="57">
        <f>IF(B380="","",ROW()-4)</f>
        <v/>
      </c>
      <c r="B380" s="58" t="n"/>
      <c r="C380" s="38" t="n"/>
      <c r="D380" s="38" t="n"/>
      <c r="E380" s="38" t="n"/>
      <c r="F380" s="57">
        <f>IF(E380="","",IFERROR(INDEX(Referensi!$C$5:$C$60,MATCH(E380,Referensi!$A$5:$A$60,0)),"?"))</f>
        <v/>
      </c>
      <c r="G380" s="38" t="n"/>
      <c r="H380" s="59" t="n"/>
      <c r="I380" s="38" t="n"/>
      <c r="J380" s="39" t="n"/>
      <c r="K380" s="60">
        <f>IF(J380="","",SUMIFS(J$5:J380,D$5:D380,"Masuk")-SUMIFS(J$5:J380,D$5:D380,"Keluar"))</f>
        <v/>
      </c>
      <c r="L380" s="38" t="n"/>
      <c r="M380" s="38" t="n"/>
      <c r="N380" s="57">
        <f>IF(E380="","",IFERROR(IF(INDEX(Referensi!$B$5:$B$60,MATCH(E380,Referensi!$A$5:$A$60,0))=D380,"OK","Jenis tidak cocok"),"Kategori tidak dikenal"))</f>
        <v/>
      </c>
    </row>
    <row r="381" ht="15" customHeight="1" s="33">
      <c r="A381" s="57">
        <f>IF(B381="","",ROW()-4)</f>
        <v/>
      </c>
      <c r="B381" s="58" t="n"/>
      <c r="C381" s="38" t="n"/>
      <c r="D381" s="38" t="n"/>
      <c r="E381" s="38" t="n"/>
      <c r="F381" s="57">
        <f>IF(E381="","",IFERROR(INDEX(Referensi!$C$5:$C$60,MATCH(E381,Referensi!$A$5:$A$60,0)),"?"))</f>
        <v/>
      </c>
      <c r="G381" s="38" t="n"/>
      <c r="H381" s="59" t="n"/>
      <c r="I381" s="38" t="n"/>
      <c r="J381" s="39" t="n"/>
      <c r="K381" s="60">
        <f>IF(J381="","",SUMIFS(J$5:J381,D$5:D381,"Masuk")-SUMIFS(J$5:J381,D$5:D381,"Keluar"))</f>
        <v/>
      </c>
      <c r="L381" s="38" t="n"/>
      <c r="M381" s="38" t="n"/>
      <c r="N381" s="57">
        <f>IF(E381="","",IFERROR(IF(INDEX(Referensi!$B$5:$B$60,MATCH(E381,Referensi!$A$5:$A$60,0))=D381,"OK","Jenis tidak cocok"),"Kategori tidak dikenal"))</f>
        <v/>
      </c>
    </row>
    <row r="382" ht="15" customHeight="1" s="33">
      <c r="A382" s="57">
        <f>IF(B382="","",ROW()-4)</f>
        <v/>
      </c>
      <c r="B382" s="58" t="n"/>
      <c r="C382" s="38" t="n"/>
      <c r="D382" s="38" t="n"/>
      <c r="E382" s="38" t="n"/>
      <c r="F382" s="57">
        <f>IF(E382="","",IFERROR(INDEX(Referensi!$C$5:$C$60,MATCH(E382,Referensi!$A$5:$A$60,0)),"?"))</f>
        <v/>
      </c>
      <c r="G382" s="38" t="n"/>
      <c r="H382" s="59" t="n"/>
      <c r="I382" s="38" t="n"/>
      <c r="J382" s="39" t="n"/>
      <c r="K382" s="60">
        <f>IF(J382="","",SUMIFS(J$5:J382,D$5:D382,"Masuk")-SUMIFS(J$5:J382,D$5:D382,"Keluar"))</f>
        <v/>
      </c>
      <c r="L382" s="38" t="n"/>
      <c r="M382" s="38" t="n"/>
      <c r="N382" s="57">
        <f>IF(E382="","",IFERROR(IF(INDEX(Referensi!$B$5:$B$60,MATCH(E382,Referensi!$A$5:$A$60,0))=D382,"OK","Jenis tidak cocok"),"Kategori tidak dikenal"))</f>
        <v/>
      </c>
    </row>
    <row r="383" ht="15" customHeight="1" s="33">
      <c r="A383" s="57">
        <f>IF(B383="","",ROW()-4)</f>
        <v/>
      </c>
      <c r="B383" s="58" t="n"/>
      <c r="C383" s="38" t="n"/>
      <c r="D383" s="38" t="n"/>
      <c r="E383" s="38" t="n"/>
      <c r="F383" s="57">
        <f>IF(E383="","",IFERROR(INDEX(Referensi!$C$5:$C$60,MATCH(E383,Referensi!$A$5:$A$60,0)),"?"))</f>
        <v/>
      </c>
      <c r="G383" s="38" t="n"/>
      <c r="H383" s="59" t="n"/>
      <c r="I383" s="38" t="n"/>
      <c r="J383" s="39" t="n"/>
      <c r="K383" s="60">
        <f>IF(J383="","",SUMIFS(J$5:J383,D$5:D383,"Masuk")-SUMIFS(J$5:J383,D$5:D383,"Keluar"))</f>
        <v/>
      </c>
      <c r="L383" s="38" t="n"/>
      <c r="M383" s="38" t="n"/>
      <c r="N383" s="57">
        <f>IF(E383="","",IFERROR(IF(INDEX(Referensi!$B$5:$B$60,MATCH(E383,Referensi!$A$5:$A$60,0))=D383,"OK","Jenis tidak cocok"),"Kategori tidak dikenal"))</f>
        <v/>
      </c>
    </row>
    <row r="384" ht="15" customHeight="1" s="33">
      <c r="A384" s="57">
        <f>IF(B384="","",ROW()-4)</f>
        <v/>
      </c>
      <c r="B384" s="58" t="n"/>
      <c r="C384" s="38" t="n"/>
      <c r="D384" s="38" t="n"/>
      <c r="E384" s="38" t="n"/>
      <c r="F384" s="57">
        <f>IF(E384="","",IFERROR(INDEX(Referensi!$C$5:$C$60,MATCH(E384,Referensi!$A$5:$A$60,0)),"?"))</f>
        <v/>
      </c>
      <c r="G384" s="38" t="n"/>
      <c r="H384" s="59" t="n"/>
      <c r="I384" s="38" t="n"/>
      <c r="J384" s="39" t="n"/>
      <c r="K384" s="60">
        <f>IF(J384="","",SUMIFS(J$5:J384,D$5:D384,"Masuk")-SUMIFS(J$5:J384,D$5:D384,"Keluar"))</f>
        <v/>
      </c>
      <c r="L384" s="38" t="n"/>
      <c r="M384" s="38" t="n"/>
      <c r="N384" s="57">
        <f>IF(E384="","",IFERROR(IF(INDEX(Referensi!$B$5:$B$60,MATCH(E384,Referensi!$A$5:$A$60,0))=D384,"OK","Jenis tidak cocok"),"Kategori tidak dikenal"))</f>
        <v/>
      </c>
    </row>
    <row r="385" ht="15" customHeight="1" s="33">
      <c r="A385" s="57">
        <f>IF(B385="","",ROW()-4)</f>
        <v/>
      </c>
      <c r="B385" s="58" t="n"/>
      <c r="C385" s="38" t="n"/>
      <c r="D385" s="38" t="n"/>
      <c r="E385" s="38" t="n"/>
      <c r="F385" s="57">
        <f>IF(E385="","",IFERROR(INDEX(Referensi!$C$5:$C$60,MATCH(E385,Referensi!$A$5:$A$60,0)),"?"))</f>
        <v/>
      </c>
      <c r="G385" s="38" t="n"/>
      <c r="H385" s="59" t="n"/>
      <c r="I385" s="38" t="n"/>
      <c r="J385" s="39" t="n"/>
      <c r="K385" s="60">
        <f>IF(J385="","",SUMIFS(J$5:J385,D$5:D385,"Masuk")-SUMIFS(J$5:J385,D$5:D385,"Keluar"))</f>
        <v/>
      </c>
      <c r="L385" s="38" t="n"/>
      <c r="M385" s="38" t="n"/>
      <c r="N385" s="57">
        <f>IF(E385="","",IFERROR(IF(INDEX(Referensi!$B$5:$B$60,MATCH(E385,Referensi!$A$5:$A$60,0))=D385,"OK","Jenis tidak cocok"),"Kategori tidak dikenal"))</f>
        <v/>
      </c>
    </row>
    <row r="386" ht="15" customHeight="1" s="33">
      <c r="A386" s="57">
        <f>IF(B386="","",ROW()-4)</f>
        <v/>
      </c>
      <c r="B386" s="58" t="n"/>
      <c r="C386" s="38" t="n"/>
      <c r="D386" s="38" t="n"/>
      <c r="E386" s="38" t="n"/>
      <c r="F386" s="57">
        <f>IF(E386="","",IFERROR(INDEX(Referensi!$C$5:$C$60,MATCH(E386,Referensi!$A$5:$A$60,0)),"?"))</f>
        <v/>
      </c>
      <c r="G386" s="38" t="n"/>
      <c r="H386" s="59" t="n"/>
      <c r="I386" s="38" t="n"/>
      <c r="J386" s="39" t="n"/>
      <c r="K386" s="60">
        <f>IF(J386="","",SUMIFS(J$5:J386,D$5:D386,"Masuk")-SUMIFS(J$5:J386,D$5:D386,"Keluar"))</f>
        <v/>
      </c>
      <c r="L386" s="38" t="n"/>
      <c r="M386" s="38" t="n"/>
      <c r="N386" s="57">
        <f>IF(E386="","",IFERROR(IF(INDEX(Referensi!$B$5:$B$60,MATCH(E386,Referensi!$A$5:$A$60,0))=D386,"OK","Jenis tidak cocok"),"Kategori tidak dikenal"))</f>
        <v/>
      </c>
    </row>
    <row r="387" ht="15" customHeight="1" s="33">
      <c r="A387" s="57">
        <f>IF(B387="","",ROW()-4)</f>
        <v/>
      </c>
      <c r="B387" s="58" t="n"/>
      <c r="C387" s="38" t="n"/>
      <c r="D387" s="38" t="n"/>
      <c r="E387" s="38" t="n"/>
      <c r="F387" s="57">
        <f>IF(E387="","",IFERROR(INDEX(Referensi!$C$5:$C$60,MATCH(E387,Referensi!$A$5:$A$60,0)),"?"))</f>
        <v/>
      </c>
      <c r="G387" s="38" t="n"/>
      <c r="H387" s="59" t="n"/>
      <c r="I387" s="38" t="n"/>
      <c r="J387" s="39" t="n"/>
      <c r="K387" s="60">
        <f>IF(J387="","",SUMIFS(J$5:J387,D$5:D387,"Masuk")-SUMIFS(J$5:J387,D$5:D387,"Keluar"))</f>
        <v/>
      </c>
      <c r="L387" s="38" t="n"/>
      <c r="M387" s="38" t="n"/>
      <c r="N387" s="57">
        <f>IF(E387="","",IFERROR(IF(INDEX(Referensi!$B$5:$B$60,MATCH(E387,Referensi!$A$5:$A$60,0))=D387,"OK","Jenis tidak cocok"),"Kategori tidak dikenal"))</f>
        <v/>
      </c>
    </row>
    <row r="388" ht="15" customHeight="1" s="33">
      <c r="A388" s="57">
        <f>IF(B388="","",ROW()-4)</f>
        <v/>
      </c>
      <c r="B388" s="58" t="n"/>
      <c r="C388" s="38" t="n"/>
      <c r="D388" s="38" t="n"/>
      <c r="E388" s="38" t="n"/>
      <c r="F388" s="57">
        <f>IF(E388="","",IFERROR(INDEX(Referensi!$C$5:$C$60,MATCH(E388,Referensi!$A$5:$A$60,0)),"?"))</f>
        <v/>
      </c>
      <c r="G388" s="38" t="n"/>
      <c r="H388" s="59" t="n"/>
      <c r="I388" s="38" t="n"/>
      <c r="J388" s="39" t="n"/>
      <c r="K388" s="60">
        <f>IF(J388="","",SUMIFS(J$5:J388,D$5:D388,"Masuk")-SUMIFS(J$5:J388,D$5:D388,"Keluar"))</f>
        <v/>
      </c>
      <c r="L388" s="38" t="n"/>
      <c r="M388" s="38" t="n"/>
      <c r="N388" s="57">
        <f>IF(E388="","",IFERROR(IF(INDEX(Referensi!$B$5:$B$60,MATCH(E388,Referensi!$A$5:$A$60,0))=D388,"OK","Jenis tidak cocok"),"Kategori tidak dikenal"))</f>
        <v/>
      </c>
    </row>
    <row r="389" ht="15" customHeight="1" s="33">
      <c r="A389" s="57">
        <f>IF(B389="","",ROW()-4)</f>
        <v/>
      </c>
      <c r="B389" s="58" t="n"/>
      <c r="C389" s="38" t="n"/>
      <c r="D389" s="38" t="n"/>
      <c r="E389" s="38" t="n"/>
      <c r="F389" s="57">
        <f>IF(E389="","",IFERROR(INDEX(Referensi!$C$5:$C$60,MATCH(E389,Referensi!$A$5:$A$60,0)),"?"))</f>
        <v/>
      </c>
      <c r="G389" s="38" t="n"/>
      <c r="H389" s="59" t="n"/>
      <c r="I389" s="38" t="n"/>
      <c r="J389" s="39" t="n"/>
      <c r="K389" s="60">
        <f>IF(J389="","",SUMIFS(J$5:J389,D$5:D389,"Masuk")-SUMIFS(J$5:J389,D$5:D389,"Keluar"))</f>
        <v/>
      </c>
      <c r="L389" s="38" t="n"/>
      <c r="M389" s="38" t="n"/>
      <c r="N389" s="57">
        <f>IF(E389="","",IFERROR(IF(INDEX(Referensi!$B$5:$B$60,MATCH(E389,Referensi!$A$5:$A$60,0))=D389,"OK","Jenis tidak cocok"),"Kategori tidak dikenal"))</f>
        <v/>
      </c>
    </row>
    <row r="390" ht="15" customHeight="1" s="33">
      <c r="A390" s="57">
        <f>IF(B390="","",ROW()-4)</f>
        <v/>
      </c>
      <c r="B390" s="58" t="n"/>
      <c r="C390" s="38" t="n"/>
      <c r="D390" s="38" t="n"/>
      <c r="E390" s="38" t="n"/>
      <c r="F390" s="57">
        <f>IF(E390="","",IFERROR(INDEX(Referensi!$C$5:$C$60,MATCH(E390,Referensi!$A$5:$A$60,0)),"?"))</f>
        <v/>
      </c>
      <c r="G390" s="38" t="n"/>
      <c r="H390" s="59" t="n"/>
      <c r="I390" s="38" t="n"/>
      <c r="J390" s="39" t="n"/>
      <c r="K390" s="60">
        <f>IF(J390="","",SUMIFS(J$5:J390,D$5:D390,"Masuk")-SUMIFS(J$5:J390,D$5:D390,"Keluar"))</f>
        <v/>
      </c>
      <c r="L390" s="38" t="n"/>
      <c r="M390" s="38" t="n"/>
      <c r="N390" s="57">
        <f>IF(E390="","",IFERROR(IF(INDEX(Referensi!$B$5:$B$60,MATCH(E390,Referensi!$A$5:$A$60,0))=D390,"OK","Jenis tidak cocok"),"Kategori tidak dikenal"))</f>
        <v/>
      </c>
    </row>
    <row r="391" ht="15" customHeight="1" s="33">
      <c r="A391" s="57">
        <f>IF(B391="","",ROW()-4)</f>
        <v/>
      </c>
      <c r="B391" s="58" t="n"/>
      <c r="C391" s="38" t="n"/>
      <c r="D391" s="38" t="n"/>
      <c r="E391" s="38" t="n"/>
      <c r="F391" s="57">
        <f>IF(E391="","",IFERROR(INDEX(Referensi!$C$5:$C$60,MATCH(E391,Referensi!$A$5:$A$60,0)),"?"))</f>
        <v/>
      </c>
      <c r="G391" s="38" t="n"/>
      <c r="H391" s="59" t="n"/>
      <c r="I391" s="38" t="n"/>
      <c r="J391" s="39" t="n"/>
      <c r="K391" s="60">
        <f>IF(J391="","",SUMIFS(J$5:J391,D$5:D391,"Masuk")-SUMIFS(J$5:J391,D$5:D391,"Keluar"))</f>
        <v/>
      </c>
      <c r="L391" s="38" t="n"/>
      <c r="M391" s="38" t="n"/>
      <c r="N391" s="57">
        <f>IF(E391="","",IFERROR(IF(INDEX(Referensi!$B$5:$B$60,MATCH(E391,Referensi!$A$5:$A$60,0))=D391,"OK","Jenis tidak cocok"),"Kategori tidak dikenal"))</f>
        <v/>
      </c>
    </row>
    <row r="392" ht="15" customHeight="1" s="33">
      <c r="A392" s="57">
        <f>IF(B392="","",ROW()-4)</f>
        <v/>
      </c>
      <c r="B392" s="58" t="n"/>
      <c r="C392" s="38" t="n"/>
      <c r="D392" s="38" t="n"/>
      <c r="E392" s="38" t="n"/>
      <c r="F392" s="57">
        <f>IF(E392="","",IFERROR(INDEX(Referensi!$C$5:$C$60,MATCH(E392,Referensi!$A$5:$A$60,0)),"?"))</f>
        <v/>
      </c>
      <c r="G392" s="38" t="n"/>
      <c r="H392" s="59" t="n"/>
      <c r="I392" s="38" t="n"/>
      <c r="J392" s="39" t="n"/>
      <c r="K392" s="60">
        <f>IF(J392="","",SUMIFS(J$5:J392,D$5:D392,"Masuk")-SUMIFS(J$5:J392,D$5:D392,"Keluar"))</f>
        <v/>
      </c>
      <c r="L392" s="38" t="n"/>
      <c r="M392" s="38" t="n"/>
      <c r="N392" s="57">
        <f>IF(E392="","",IFERROR(IF(INDEX(Referensi!$B$5:$B$60,MATCH(E392,Referensi!$A$5:$A$60,0))=D392,"OK","Jenis tidak cocok"),"Kategori tidak dikenal"))</f>
        <v/>
      </c>
    </row>
    <row r="393" ht="15" customHeight="1" s="33">
      <c r="A393" s="57">
        <f>IF(B393="","",ROW()-4)</f>
        <v/>
      </c>
      <c r="B393" s="58" t="n"/>
      <c r="C393" s="38" t="n"/>
      <c r="D393" s="38" t="n"/>
      <c r="E393" s="38" t="n"/>
      <c r="F393" s="57">
        <f>IF(E393="","",IFERROR(INDEX(Referensi!$C$5:$C$60,MATCH(E393,Referensi!$A$5:$A$60,0)),"?"))</f>
        <v/>
      </c>
      <c r="G393" s="38" t="n"/>
      <c r="H393" s="59" t="n"/>
      <c r="I393" s="38" t="n"/>
      <c r="J393" s="39" t="n"/>
      <c r="K393" s="60">
        <f>IF(J393="","",SUMIFS(J$5:J393,D$5:D393,"Masuk")-SUMIFS(J$5:J393,D$5:D393,"Keluar"))</f>
        <v/>
      </c>
      <c r="L393" s="38" t="n"/>
      <c r="M393" s="38" t="n"/>
      <c r="N393" s="57">
        <f>IF(E393="","",IFERROR(IF(INDEX(Referensi!$B$5:$B$60,MATCH(E393,Referensi!$A$5:$A$60,0))=D393,"OK","Jenis tidak cocok"),"Kategori tidak dikenal"))</f>
        <v/>
      </c>
    </row>
    <row r="394" ht="15" customHeight="1" s="33">
      <c r="A394" s="57">
        <f>IF(B394="","",ROW()-4)</f>
        <v/>
      </c>
      <c r="B394" s="58" t="n"/>
      <c r="C394" s="38" t="n"/>
      <c r="D394" s="38" t="n"/>
      <c r="E394" s="38" t="n"/>
      <c r="F394" s="57">
        <f>IF(E394="","",IFERROR(INDEX(Referensi!$C$5:$C$60,MATCH(E394,Referensi!$A$5:$A$60,0)),"?"))</f>
        <v/>
      </c>
      <c r="G394" s="38" t="n"/>
      <c r="H394" s="59" t="n"/>
      <c r="I394" s="38" t="n"/>
      <c r="J394" s="39" t="n"/>
      <c r="K394" s="60">
        <f>IF(J394="","",SUMIFS(J$5:J394,D$5:D394,"Masuk")-SUMIFS(J$5:J394,D$5:D394,"Keluar"))</f>
        <v/>
      </c>
      <c r="L394" s="38" t="n"/>
      <c r="M394" s="38" t="n"/>
      <c r="N394" s="57">
        <f>IF(E394="","",IFERROR(IF(INDEX(Referensi!$B$5:$B$60,MATCH(E394,Referensi!$A$5:$A$60,0))=D394,"OK","Jenis tidak cocok"),"Kategori tidak dikenal"))</f>
        <v/>
      </c>
    </row>
    <row r="395" ht="15" customHeight="1" s="33">
      <c r="A395" s="57">
        <f>IF(B395="","",ROW()-4)</f>
        <v/>
      </c>
      <c r="B395" s="58" t="n"/>
      <c r="C395" s="38" t="n"/>
      <c r="D395" s="38" t="n"/>
      <c r="E395" s="38" t="n"/>
      <c r="F395" s="57">
        <f>IF(E395="","",IFERROR(INDEX(Referensi!$C$5:$C$60,MATCH(E395,Referensi!$A$5:$A$60,0)),"?"))</f>
        <v/>
      </c>
      <c r="G395" s="38" t="n"/>
      <c r="H395" s="59" t="n"/>
      <c r="I395" s="38" t="n"/>
      <c r="J395" s="39" t="n"/>
      <c r="K395" s="60">
        <f>IF(J395="","",SUMIFS(J$5:J395,D$5:D395,"Masuk")-SUMIFS(J$5:J395,D$5:D395,"Keluar"))</f>
        <v/>
      </c>
      <c r="L395" s="38" t="n"/>
      <c r="M395" s="38" t="n"/>
      <c r="N395" s="57">
        <f>IF(E395="","",IFERROR(IF(INDEX(Referensi!$B$5:$B$60,MATCH(E395,Referensi!$A$5:$A$60,0))=D395,"OK","Jenis tidak cocok"),"Kategori tidak dikenal"))</f>
        <v/>
      </c>
    </row>
    <row r="396" ht="15" customHeight="1" s="33">
      <c r="A396" s="57">
        <f>IF(B396="","",ROW()-4)</f>
        <v/>
      </c>
      <c r="B396" s="58" t="n"/>
      <c r="C396" s="38" t="n"/>
      <c r="D396" s="38" t="n"/>
      <c r="E396" s="38" t="n"/>
      <c r="F396" s="57">
        <f>IF(E396="","",IFERROR(INDEX(Referensi!$C$5:$C$60,MATCH(E396,Referensi!$A$5:$A$60,0)),"?"))</f>
        <v/>
      </c>
      <c r="G396" s="38" t="n"/>
      <c r="H396" s="59" t="n"/>
      <c r="I396" s="38" t="n"/>
      <c r="J396" s="39" t="n"/>
      <c r="K396" s="60">
        <f>IF(J396="","",SUMIFS(J$5:J396,D$5:D396,"Masuk")-SUMIFS(J$5:J396,D$5:D396,"Keluar"))</f>
        <v/>
      </c>
      <c r="L396" s="38" t="n"/>
      <c r="M396" s="38" t="n"/>
      <c r="N396" s="57">
        <f>IF(E396="","",IFERROR(IF(INDEX(Referensi!$B$5:$B$60,MATCH(E396,Referensi!$A$5:$A$60,0))=D396,"OK","Jenis tidak cocok"),"Kategori tidak dikenal"))</f>
        <v/>
      </c>
    </row>
    <row r="397" ht="15" customHeight="1" s="33">
      <c r="A397" s="57">
        <f>IF(B397="","",ROW()-4)</f>
        <v/>
      </c>
      <c r="B397" s="58" t="n"/>
      <c r="C397" s="38" t="n"/>
      <c r="D397" s="38" t="n"/>
      <c r="E397" s="38" t="n"/>
      <c r="F397" s="57">
        <f>IF(E397="","",IFERROR(INDEX(Referensi!$C$5:$C$60,MATCH(E397,Referensi!$A$5:$A$60,0)),"?"))</f>
        <v/>
      </c>
      <c r="G397" s="38" t="n"/>
      <c r="H397" s="59" t="n"/>
      <c r="I397" s="38" t="n"/>
      <c r="J397" s="39" t="n"/>
      <c r="K397" s="60">
        <f>IF(J397="","",SUMIFS(J$5:J397,D$5:D397,"Masuk")-SUMIFS(J$5:J397,D$5:D397,"Keluar"))</f>
        <v/>
      </c>
      <c r="L397" s="38" t="n"/>
      <c r="M397" s="38" t="n"/>
      <c r="N397" s="57">
        <f>IF(E397="","",IFERROR(IF(INDEX(Referensi!$B$5:$B$60,MATCH(E397,Referensi!$A$5:$A$60,0))=D397,"OK","Jenis tidak cocok"),"Kategori tidak dikenal"))</f>
        <v/>
      </c>
    </row>
    <row r="398" ht="15" customHeight="1" s="33">
      <c r="A398" s="57">
        <f>IF(B398="","",ROW()-4)</f>
        <v/>
      </c>
      <c r="B398" s="58" t="n"/>
      <c r="C398" s="38" t="n"/>
      <c r="D398" s="38" t="n"/>
      <c r="E398" s="38" t="n"/>
      <c r="F398" s="57">
        <f>IF(E398="","",IFERROR(INDEX(Referensi!$C$5:$C$60,MATCH(E398,Referensi!$A$5:$A$60,0)),"?"))</f>
        <v/>
      </c>
      <c r="G398" s="38" t="n"/>
      <c r="H398" s="59" t="n"/>
      <c r="I398" s="38" t="n"/>
      <c r="J398" s="39" t="n"/>
      <c r="K398" s="60">
        <f>IF(J398="","",SUMIFS(J$5:J398,D$5:D398,"Masuk")-SUMIFS(J$5:J398,D$5:D398,"Keluar"))</f>
        <v/>
      </c>
      <c r="L398" s="38" t="n"/>
      <c r="M398" s="38" t="n"/>
      <c r="N398" s="57">
        <f>IF(E398="","",IFERROR(IF(INDEX(Referensi!$B$5:$B$60,MATCH(E398,Referensi!$A$5:$A$60,0))=D398,"OK","Jenis tidak cocok"),"Kategori tidak dikenal"))</f>
        <v/>
      </c>
    </row>
    <row r="399" ht="15" customHeight="1" s="33">
      <c r="A399" s="57">
        <f>IF(B399="","",ROW()-4)</f>
        <v/>
      </c>
      <c r="B399" s="58" t="n"/>
      <c r="C399" s="38" t="n"/>
      <c r="D399" s="38" t="n"/>
      <c r="E399" s="38" t="n"/>
      <c r="F399" s="57">
        <f>IF(E399="","",IFERROR(INDEX(Referensi!$C$5:$C$60,MATCH(E399,Referensi!$A$5:$A$60,0)),"?"))</f>
        <v/>
      </c>
      <c r="G399" s="38" t="n"/>
      <c r="H399" s="59" t="n"/>
      <c r="I399" s="38" t="n"/>
      <c r="J399" s="39" t="n"/>
      <c r="K399" s="60">
        <f>IF(J399="","",SUMIFS(J$5:J399,D$5:D399,"Masuk")-SUMIFS(J$5:J399,D$5:D399,"Keluar"))</f>
        <v/>
      </c>
      <c r="L399" s="38" t="n"/>
      <c r="M399" s="38" t="n"/>
      <c r="N399" s="57">
        <f>IF(E399="","",IFERROR(IF(INDEX(Referensi!$B$5:$B$60,MATCH(E399,Referensi!$A$5:$A$60,0))=D399,"OK","Jenis tidak cocok"),"Kategori tidak dikenal"))</f>
        <v/>
      </c>
    </row>
    <row r="400" ht="15" customHeight="1" s="33">
      <c r="A400" s="57">
        <f>IF(B400="","",ROW()-4)</f>
        <v/>
      </c>
      <c r="B400" s="58" t="n"/>
      <c r="C400" s="38" t="n"/>
      <c r="D400" s="38" t="n"/>
      <c r="E400" s="38" t="n"/>
      <c r="F400" s="57">
        <f>IF(E400="","",IFERROR(INDEX(Referensi!$C$5:$C$60,MATCH(E400,Referensi!$A$5:$A$60,0)),"?"))</f>
        <v/>
      </c>
      <c r="G400" s="38" t="n"/>
      <c r="H400" s="59" t="n"/>
      <c r="I400" s="38" t="n"/>
      <c r="J400" s="39" t="n"/>
      <c r="K400" s="60">
        <f>IF(J400="","",SUMIFS(J$5:J400,D$5:D400,"Masuk")-SUMIFS(J$5:J400,D$5:D400,"Keluar"))</f>
        <v/>
      </c>
      <c r="L400" s="38" t="n"/>
      <c r="M400" s="38" t="n"/>
      <c r="N400" s="57">
        <f>IF(E400="","",IFERROR(IF(INDEX(Referensi!$B$5:$B$60,MATCH(E400,Referensi!$A$5:$A$60,0))=D400,"OK","Jenis tidak cocok"),"Kategori tidak dikenal"))</f>
        <v/>
      </c>
    </row>
    <row r="401" ht="15" customHeight="1" s="33">
      <c r="A401" s="57">
        <f>IF(B401="","",ROW()-4)</f>
        <v/>
      </c>
      <c r="B401" s="58" t="n"/>
      <c r="C401" s="38" t="n"/>
      <c r="D401" s="38" t="n"/>
      <c r="E401" s="38" t="n"/>
      <c r="F401" s="57">
        <f>IF(E401="","",IFERROR(INDEX(Referensi!$C$5:$C$60,MATCH(E401,Referensi!$A$5:$A$60,0)),"?"))</f>
        <v/>
      </c>
      <c r="G401" s="38" t="n"/>
      <c r="H401" s="59" t="n"/>
      <c r="I401" s="38" t="n"/>
      <c r="J401" s="39" t="n"/>
      <c r="K401" s="60">
        <f>IF(J401="","",SUMIFS(J$5:J401,D$5:D401,"Masuk")-SUMIFS(J$5:J401,D$5:D401,"Keluar"))</f>
        <v/>
      </c>
      <c r="L401" s="38" t="n"/>
      <c r="M401" s="38" t="n"/>
      <c r="N401" s="57">
        <f>IF(E401="","",IFERROR(IF(INDEX(Referensi!$B$5:$B$60,MATCH(E401,Referensi!$A$5:$A$60,0))=D401,"OK","Jenis tidak cocok"),"Kategori tidak dikenal"))</f>
        <v/>
      </c>
    </row>
    <row r="402" ht="15" customHeight="1" s="33">
      <c r="A402" s="57">
        <f>IF(B402="","",ROW()-4)</f>
        <v/>
      </c>
      <c r="B402" s="58" t="n"/>
      <c r="C402" s="38" t="n"/>
      <c r="D402" s="38" t="n"/>
      <c r="E402" s="38" t="n"/>
      <c r="F402" s="57">
        <f>IF(E402="","",IFERROR(INDEX(Referensi!$C$5:$C$60,MATCH(E402,Referensi!$A$5:$A$60,0)),"?"))</f>
        <v/>
      </c>
      <c r="G402" s="38" t="n"/>
      <c r="H402" s="59" t="n"/>
      <c r="I402" s="38" t="n"/>
      <c r="J402" s="39" t="n"/>
      <c r="K402" s="60">
        <f>IF(J402="","",SUMIFS(J$5:J402,D$5:D402,"Masuk")-SUMIFS(J$5:J402,D$5:D402,"Keluar"))</f>
        <v/>
      </c>
      <c r="L402" s="38" t="n"/>
      <c r="M402" s="38" t="n"/>
      <c r="N402" s="57">
        <f>IF(E402="","",IFERROR(IF(INDEX(Referensi!$B$5:$B$60,MATCH(E402,Referensi!$A$5:$A$60,0))=D402,"OK","Jenis tidak cocok"),"Kategori tidak dikenal"))</f>
        <v/>
      </c>
    </row>
    <row r="403" ht="15" customHeight="1" s="33">
      <c r="A403" s="57">
        <f>IF(B403="","",ROW()-4)</f>
        <v/>
      </c>
      <c r="B403" s="58" t="n"/>
      <c r="C403" s="38" t="n"/>
      <c r="D403" s="38" t="n"/>
      <c r="E403" s="38" t="n"/>
      <c r="F403" s="57">
        <f>IF(E403="","",IFERROR(INDEX(Referensi!$C$5:$C$60,MATCH(E403,Referensi!$A$5:$A$60,0)),"?"))</f>
        <v/>
      </c>
      <c r="G403" s="38" t="n"/>
      <c r="H403" s="59" t="n"/>
      <c r="I403" s="38" t="n"/>
      <c r="J403" s="39" t="n"/>
      <c r="K403" s="60">
        <f>IF(J403="","",SUMIFS(J$5:J403,D$5:D403,"Masuk")-SUMIFS(J$5:J403,D$5:D403,"Keluar"))</f>
        <v/>
      </c>
      <c r="L403" s="38" t="n"/>
      <c r="M403" s="38" t="n"/>
      <c r="N403" s="57">
        <f>IF(E403="","",IFERROR(IF(INDEX(Referensi!$B$5:$B$60,MATCH(E403,Referensi!$A$5:$A$60,0))=D403,"OK","Jenis tidak cocok"),"Kategori tidak dikenal"))</f>
        <v/>
      </c>
    </row>
    <row r="404" ht="15" customHeight="1" s="33">
      <c r="A404" s="57">
        <f>IF(B404="","",ROW()-4)</f>
        <v/>
      </c>
      <c r="B404" s="58" t="n"/>
      <c r="C404" s="38" t="n"/>
      <c r="D404" s="38" t="n"/>
      <c r="E404" s="38" t="n"/>
      <c r="F404" s="57">
        <f>IF(E404="","",IFERROR(INDEX(Referensi!$C$5:$C$60,MATCH(E404,Referensi!$A$5:$A$60,0)),"?"))</f>
        <v/>
      </c>
      <c r="G404" s="38" t="n"/>
      <c r="H404" s="59" t="n"/>
      <c r="I404" s="38" t="n"/>
      <c r="J404" s="39" t="n"/>
      <c r="K404" s="60">
        <f>IF(J404="","",SUMIFS(J$5:J404,D$5:D404,"Masuk")-SUMIFS(J$5:J404,D$5:D404,"Keluar"))</f>
        <v/>
      </c>
      <c r="L404" s="38" t="n"/>
      <c r="M404" s="38" t="n"/>
      <c r="N404" s="57">
        <f>IF(E404="","",IFERROR(IF(INDEX(Referensi!$B$5:$B$60,MATCH(E404,Referensi!$A$5:$A$60,0))=D404,"OK","Jenis tidak cocok"),"Kategori tidak dikenal"))</f>
        <v/>
      </c>
    </row>
    <row r="405" ht="15" customHeight="1" s="33">
      <c r="A405" s="57">
        <f>IF(B405="","",ROW()-4)</f>
        <v/>
      </c>
      <c r="B405" s="58" t="n"/>
      <c r="C405" s="38" t="n"/>
      <c r="D405" s="38" t="n"/>
      <c r="E405" s="38" t="n"/>
      <c r="F405" s="57">
        <f>IF(E405="","",IFERROR(INDEX(Referensi!$C$5:$C$60,MATCH(E405,Referensi!$A$5:$A$60,0)),"?"))</f>
        <v/>
      </c>
      <c r="G405" s="38" t="n"/>
      <c r="H405" s="59" t="n"/>
      <c r="I405" s="38" t="n"/>
      <c r="J405" s="39" t="n"/>
      <c r="K405" s="60">
        <f>IF(J405="","",SUMIFS(J$5:J405,D$5:D405,"Masuk")-SUMIFS(J$5:J405,D$5:D405,"Keluar"))</f>
        <v/>
      </c>
      <c r="L405" s="38" t="n"/>
      <c r="M405" s="38" t="n"/>
      <c r="N405" s="57">
        <f>IF(E405="","",IFERROR(IF(INDEX(Referensi!$B$5:$B$60,MATCH(E405,Referensi!$A$5:$A$60,0))=D405,"OK","Jenis tidak cocok"),"Kategori tidak dikenal"))</f>
        <v/>
      </c>
    </row>
    <row r="406" ht="15" customHeight="1" s="33">
      <c r="A406" s="57">
        <f>IF(B406="","",ROW()-4)</f>
        <v/>
      </c>
      <c r="B406" s="58" t="n"/>
      <c r="C406" s="38" t="n"/>
      <c r="D406" s="38" t="n"/>
      <c r="E406" s="38" t="n"/>
      <c r="F406" s="57">
        <f>IF(E406="","",IFERROR(INDEX(Referensi!$C$5:$C$60,MATCH(E406,Referensi!$A$5:$A$60,0)),"?"))</f>
        <v/>
      </c>
      <c r="G406" s="38" t="n"/>
      <c r="H406" s="59" t="n"/>
      <c r="I406" s="38" t="n"/>
      <c r="J406" s="39" t="n"/>
      <c r="K406" s="60">
        <f>IF(J406="","",SUMIFS(J$5:J406,D$5:D406,"Masuk")-SUMIFS(J$5:J406,D$5:D406,"Keluar"))</f>
        <v/>
      </c>
      <c r="L406" s="38" t="n"/>
      <c r="M406" s="38" t="n"/>
      <c r="N406" s="57">
        <f>IF(E406="","",IFERROR(IF(INDEX(Referensi!$B$5:$B$60,MATCH(E406,Referensi!$A$5:$A$60,0))=D406,"OK","Jenis tidak cocok"),"Kategori tidak dikenal"))</f>
        <v/>
      </c>
    </row>
    <row r="407" ht="15" customHeight="1" s="33">
      <c r="A407" s="57">
        <f>IF(B407="","",ROW()-4)</f>
        <v/>
      </c>
      <c r="B407" s="58" t="n"/>
      <c r="C407" s="38" t="n"/>
      <c r="D407" s="38" t="n"/>
      <c r="E407" s="38" t="n"/>
      <c r="F407" s="57">
        <f>IF(E407="","",IFERROR(INDEX(Referensi!$C$5:$C$60,MATCH(E407,Referensi!$A$5:$A$60,0)),"?"))</f>
        <v/>
      </c>
      <c r="G407" s="38" t="n"/>
      <c r="H407" s="59" t="n"/>
      <c r="I407" s="38" t="n"/>
      <c r="J407" s="39" t="n"/>
      <c r="K407" s="60">
        <f>IF(J407="","",SUMIFS(J$5:J407,D$5:D407,"Masuk")-SUMIFS(J$5:J407,D$5:D407,"Keluar"))</f>
        <v/>
      </c>
      <c r="L407" s="38" t="n"/>
      <c r="M407" s="38" t="n"/>
      <c r="N407" s="57">
        <f>IF(E407="","",IFERROR(IF(INDEX(Referensi!$B$5:$B$60,MATCH(E407,Referensi!$A$5:$A$60,0))=D407,"OK","Jenis tidak cocok"),"Kategori tidak dikenal"))</f>
        <v/>
      </c>
    </row>
    <row r="408" ht="15" customHeight="1" s="33">
      <c r="A408" s="57">
        <f>IF(B408="","",ROW()-4)</f>
        <v/>
      </c>
      <c r="B408" s="58" t="n"/>
      <c r="C408" s="38" t="n"/>
      <c r="D408" s="38" t="n"/>
      <c r="E408" s="38" t="n"/>
      <c r="F408" s="57">
        <f>IF(E408="","",IFERROR(INDEX(Referensi!$C$5:$C$60,MATCH(E408,Referensi!$A$5:$A$60,0)),"?"))</f>
        <v/>
      </c>
      <c r="G408" s="38" t="n"/>
      <c r="H408" s="59" t="n"/>
      <c r="I408" s="38" t="n"/>
      <c r="J408" s="39" t="n"/>
      <c r="K408" s="60">
        <f>IF(J408="","",SUMIFS(J$5:J408,D$5:D408,"Masuk")-SUMIFS(J$5:J408,D$5:D408,"Keluar"))</f>
        <v/>
      </c>
      <c r="L408" s="38" t="n"/>
      <c r="M408" s="38" t="n"/>
      <c r="N408" s="57">
        <f>IF(E408="","",IFERROR(IF(INDEX(Referensi!$B$5:$B$60,MATCH(E408,Referensi!$A$5:$A$60,0))=D408,"OK","Jenis tidak cocok"),"Kategori tidak dikenal"))</f>
        <v/>
      </c>
    </row>
    <row r="409" ht="15" customHeight="1" s="33">
      <c r="A409" s="57">
        <f>IF(B409="","",ROW()-4)</f>
        <v/>
      </c>
      <c r="B409" s="58" t="n"/>
      <c r="C409" s="38" t="n"/>
      <c r="D409" s="38" t="n"/>
      <c r="E409" s="38" t="n"/>
      <c r="F409" s="57">
        <f>IF(E409="","",IFERROR(INDEX(Referensi!$C$5:$C$60,MATCH(E409,Referensi!$A$5:$A$60,0)),"?"))</f>
        <v/>
      </c>
      <c r="G409" s="38" t="n"/>
      <c r="H409" s="59" t="n"/>
      <c r="I409" s="38" t="n"/>
      <c r="J409" s="39" t="n"/>
      <c r="K409" s="60">
        <f>IF(J409="","",SUMIFS(J$5:J409,D$5:D409,"Masuk")-SUMIFS(J$5:J409,D$5:D409,"Keluar"))</f>
        <v/>
      </c>
      <c r="L409" s="38" t="n"/>
      <c r="M409" s="38" t="n"/>
      <c r="N409" s="57">
        <f>IF(E409="","",IFERROR(IF(INDEX(Referensi!$B$5:$B$60,MATCH(E409,Referensi!$A$5:$A$60,0))=D409,"OK","Jenis tidak cocok"),"Kategori tidak dikenal"))</f>
        <v/>
      </c>
    </row>
    <row r="410" ht="15" customHeight="1" s="33">
      <c r="A410" s="57">
        <f>IF(B410="","",ROW()-4)</f>
        <v/>
      </c>
      <c r="B410" s="58" t="n"/>
      <c r="C410" s="38" t="n"/>
      <c r="D410" s="38" t="n"/>
      <c r="E410" s="38" t="n"/>
      <c r="F410" s="57">
        <f>IF(E410="","",IFERROR(INDEX(Referensi!$C$5:$C$60,MATCH(E410,Referensi!$A$5:$A$60,0)),"?"))</f>
        <v/>
      </c>
      <c r="G410" s="38" t="n"/>
      <c r="H410" s="59" t="n"/>
      <c r="I410" s="38" t="n"/>
      <c r="J410" s="39" t="n"/>
      <c r="K410" s="60">
        <f>IF(J410="","",SUMIFS(J$5:J410,D$5:D410,"Masuk")-SUMIFS(J$5:J410,D$5:D410,"Keluar"))</f>
        <v/>
      </c>
      <c r="L410" s="38" t="n"/>
      <c r="M410" s="38" t="n"/>
      <c r="N410" s="57">
        <f>IF(E410="","",IFERROR(IF(INDEX(Referensi!$B$5:$B$60,MATCH(E410,Referensi!$A$5:$A$60,0))=D410,"OK","Jenis tidak cocok"),"Kategori tidak dikenal"))</f>
        <v/>
      </c>
    </row>
    <row r="411" ht="15" customHeight="1" s="33">
      <c r="A411" s="57">
        <f>IF(B411="","",ROW()-4)</f>
        <v/>
      </c>
      <c r="B411" s="58" t="n"/>
      <c r="C411" s="38" t="n"/>
      <c r="D411" s="38" t="n"/>
      <c r="E411" s="38" t="n"/>
      <c r="F411" s="57">
        <f>IF(E411="","",IFERROR(INDEX(Referensi!$C$5:$C$60,MATCH(E411,Referensi!$A$5:$A$60,0)),"?"))</f>
        <v/>
      </c>
      <c r="G411" s="38" t="n"/>
      <c r="H411" s="59" t="n"/>
      <c r="I411" s="38" t="n"/>
      <c r="J411" s="39" t="n"/>
      <c r="K411" s="60">
        <f>IF(J411="","",SUMIFS(J$5:J411,D$5:D411,"Masuk")-SUMIFS(J$5:J411,D$5:D411,"Keluar"))</f>
        <v/>
      </c>
      <c r="L411" s="38" t="n"/>
      <c r="M411" s="38" t="n"/>
      <c r="N411" s="57">
        <f>IF(E411="","",IFERROR(IF(INDEX(Referensi!$B$5:$B$60,MATCH(E411,Referensi!$A$5:$A$60,0))=D411,"OK","Jenis tidak cocok"),"Kategori tidak dikenal"))</f>
        <v/>
      </c>
    </row>
    <row r="412" ht="15" customHeight="1" s="33">
      <c r="A412" s="57">
        <f>IF(B412="","",ROW()-4)</f>
        <v/>
      </c>
      <c r="B412" s="58" t="n"/>
      <c r="C412" s="38" t="n"/>
      <c r="D412" s="38" t="n"/>
      <c r="E412" s="38" t="n"/>
      <c r="F412" s="57">
        <f>IF(E412="","",IFERROR(INDEX(Referensi!$C$5:$C$60,MATCH(E412,Referensi!$A$5:$A$60,0)),"?"))</f>
        <v/>
      </c>
      <c r="G412" s="38" t="n"/>
      <c r="H412" s="59" t="n"/>
      <c r="I412" s="38" t="n"/>
      <c r="J412" s="39" t="n"/>
      <c r="K412" s="60">
        <f>IF(J412="","",SUMIFS(J$5:J412,D$5:D412,"Masuk")-SUMIFS(J$5:J412,D$5:D412,"Keluar"))</f>
        <v/>
      </c>
      <c r="L412" s="38" t="n"/>
      <c r="M412" s="38" t="n"/>
      <c r="N412" s="57">
        <f>IF(E412="","",IFERROR(IF(INDEX(Referensi!$B$5:$B$60,MATCH(E412,Referensi!$A$5:$A$60,0))=D412,"OK","Jenis tidak cocok"),"Kategori tidak dikenal"))</f>
        <v/>
      </c>
    </row>
    <row r="413" ht="15" customHeight="1" s="33">
      <c r="A413" s="57">
        <f>IF(B413="","",ROW()-4)</f>
        <v/>
      </c>
      <c r="B413" s="58" t="n"/>
      <c r="C413" s="38" t="n"/>
      <c r="D413" s="38" t="n"/>
      <c r="E413" s="38" t="n"/>
      <c r="F413" s="57">
        <f>IF(E413="","",IFERROR(INDEX(Referensi!$C$5:$C$60,MATCH(E413,Referensi!$A$5:$A$60,0)),"?"))</f>
        <v/>
      </c>
      <c r="G413" s="38" t="n"/>
      <c r="H413" s="59" t="n"/>
      <c r="I413" s="38" t="n"/>
      <c r="J413" s="39" t="n"/>
      <c r="K413" s="60">
        <f>IF(J413="","",SUMIFS(J$5:J413,D$5:D413,"Masuk")-SUMIFS(J$5:J413,D$5:D413,"Keluar"))</f>
        <v/>
      </c>
      <c r="L413" s="38" t="n"/>
      <c r="M413" s="38" t="n"/>
      <c r="N413" s="57">
        <f>IF(E413="","",IFERROR(IF(INDEX(Referensi!$B$5:$B$60,MATCH(E413,Referensi!$A$5:$A$60,0))=D413,"OK","Jenis tidak cocok"),"Kategori tidak dikenal"))</f>
        <v/>
      </c>
    </row>
    <row r="414" ht="15" customHeight="1" s="33">
      <c r="A414" s="57">
        <f>IF(B414="","",ROW()-4)</f>
        <v/>
      </c>
      <c r="B414" s="58" t="n"/>
      <c r="C414" s="38" t="n"/>
      <c r="D414" s="38" t="n"/>
      <c r="E414" s="38" t="n"/>
      <c r="F414" s="57">
        <f>IF(E414="","",IFERROR(INDEX(Referensi!$C$5:$C$60,MATCH(E414,Referensi!$A$5:$A$60,0)),"?"))</f>
        <v/>
      </c>
      <c r="G414" s="38" t="n"/>
      <c r="H414" s="59" t="n"/>
      <c r="I414" s="38" t="n"/>
      <c r="J414" s="39" t="n"/>
      <c r="K414" s="60">
        <f>IF(J414="","",SUMIFS(J$5:J414,D$5:D414,"Masuk")-SUMIFS(J$5:J414,D$5:D414,"Keluar"))</f>
        <v/>
      </c>
      <c r="L414" s="38" t="n"/>
      <c r="M414" s="38" t="n"/>
      <c r="N414" s="57">
        <f>IF(E414="","",IFERROR(IF(INDEX(Referensi!$B$5:$B$60,MATCH(E414,Referensi!$A$5:$A$60,0))=D414,"OK","Jenis tidak cocok"),"Kategori tidak dikenal"))</f>
        <v/>
      </c>
    </row>
    <row r="415" ht="15" customHeight="1" s="33">
      <c r="A415" s="57">
        <f>IF(B415="","",ROW()-4)</f>
        <v/>
      </c>
      <c r="B415" s="58" t="n"/>
      <c r="C415" s="38" t="n"/>
      <c r="D415" s="38" t="n"/>
      <c r="E415" s="38" t="n"/>
      <c r="F415" s="57">
        <f>IF(E415="","",IFERROR(INDEX(Referensi!$C$5:$C$60,MATCH(E415,Referensi!$A$5:$A$60,0)),"?"))</f>
        <v/>
      </c>
      <c r="G415" s="38" t="n"/>
      <c r="H415" s="59" t="n"/>
      <c r="I415" s="38" t="n"/>
      <c r="J415" s="39" t="n"/>
      <c r="K415" s="60">
        <f>IF(J415="","",SUMIFS(J$5:J415,D$5:D415,"Masuk")-SUMIFS(J$5:J415,D$5:D415,"Keluar"))</f>
        <v/>
      </c>
      <c r="L415" s="38" t="n"/>
      <c r="M415" s="38" t="n"/>
      <c r="N415" s="57">
        <f>IF(E415="","",IFERROR(IF(INDEX(Referensi!$B$5:$B$60,MATCH(E415,Referensi!$A$5:$A$60,0))=D415,"OK","Jenis tidak cocok"),"Kategori tidak dikenal"))</f>
        <v/>
      </c>
    </row>
    <row r="416" ht="15" customHeight="1" s="33">
      <c r="A416" s="57">
        <f>IF(B416="","",ROW()-4)</f>
        <v/>
      </c>
      <c r="B416" s="58" t="n"/>
      <c r="C416" s="38" t="n"/>
      <c r="D416" s="38" t="n"/>
      <c r="E416" s="38" t="n"/>
      <c r="F416" s="57">
        <f>IF(E416="","",IFERROR(INDEX(Referensi!$C$5:$C$60,MATCH(E416,Referensi!$A$5:$A$60,0)),"?"))</f>
        <v/>
      </c>
      <c r="G416" s="38" t="n"/>
      <c r="H416" s="59" t="n"/>
      <c r="I416" s="38" t="n"/>
      <c r="J416" s="39" t="n"/>
      <c r="K416" s="60">
        <f>IF(J416="","",SUMIFS(J$5:J416,D$5:D416,"Masuk")-SUMIFS(J$5:J416,D$5:D416,"Keluar"))</f>
        <v/>
      </c>
      <c r="L416" s="38" t="n"/>
      <c r="M416" s="38" t="n"/>
      <c r="N416" s="57">
        <f>IF(E416="","",IFERROR(IF(INDEX(Referensi!$B$5:$B$60,MATCH(E416,Referensi!$A$5:$A$60,0))=D416,"OK","Jenis tidak cocok"),"Kategori tidak dikenal"))</f>
        <v/>
      </c>
    </row>
    <row r="417" ht="15" customHeight="1" s="33">
      <c r="A417" s="57">
        <f>IF(B417="","",ROW()-4)</f>
        <v/>
      </c>
      <c r="B417" s="58" t="n"/>
      <c r="C417" s="38" t="n"/>
      <c r="D417" s="38" t="n"/>
      <c r="E417" s="38" t="n"/>
      <c r="F417" s="57">
        <f>IF(E417="","",IFERROR(INDEX(Referensi!$C$5:$C$60,MATCH(E417,Referensi!$A$5:$A$60,0)),"?"))</f>
        <v/>
      </c>
      <c r="G417" s="38" t="n"/>
      <c r="H417" s="59" t="n"/>
      <c r="I417" s="38" t="n"/>
      <c r="J417" s="39" t="n"/>
      <c r="K417" s="60">
        <f>IF(J417="","",SUMIFS(J$5:J417,D$5:D417,"Masuk")-SUMIFS(J$5:J417,D$5:D417,"Keluar"))</f>
        <v/>
      </c>
      <c r="L417" s="38" t="n"/>
      <c r="M417" s="38" t="n"/>
      <c r="N417" s="57">
        <f>IF(E417="","",IFERROR(IF(INDEX(Referensi!$B$5:$B$60,MATCH(E417,Referensi!$A$5:$A$60,0))=D417,"OK","Jenis tidak cocok"),"Kategori tidak dikenal"))</f>
        <v/>
      </c>
    </row>
    <row r="418" ht="15" customHeight="1" s="33">
      <c r="A418" s="57">
        <f>IF(B418="","",ROW()-4)</f>
        <v/>
      </c>
      <c r="B418" s="58" t="n"/>
      <c r="C418" s="38" t="n"/>
      <c r="D418" s="38" t="n"/>
      <c r="E418" s="38" t="n"/>
      <c r="F418" s="57">
        <f>IF(E418="","",IFERROR(INDEX(Referensi!$C$5:$C$60,MATCH(E418,Referensi!$A$5:$A$60,0)),"?"))</f>
        <v/>
      </c>
      <c r="G418" s="38" t="n"/>
      <c r="H418" s="59" t="n"/>
      <c r="I418" s="38" t="n"/>
      <c r="J418" s="39" t="n"/>
      <c r="K418" s="60">
        <f>IF(J418="","",SUMIFS(J$5:J418,D$5:D418,"Masuk")-SUMIFS(J$5:J418,D$5:D418,"Keluar"))</f>
        <v/>
      </c>
      <c r="L418" s="38" t="n"/>
      <c r="M418" s="38" t="n"/>
      <c r="N418" s="57">
        <f>IF(E418="","",IFERROR(IF(INDEX(Referensi!$B$5:$B$60,MATCH(E418,Referensi!$A$5:$A$60,0))=D418,"OK","Jenis tidak cocok"),"Kategori tidak dikenal"))</f>
        <v/>
      </c>
    </row>
    <row r="419" ht="15" customHeight="1" s="33">
      <c r="A419" s="57">
        <f>IF(B419="","",ROW()-4)</f>
        <v/>
      </c>
      <c r="B419" s="58" t="n"/>
      <c r="C419" s="38" t="n"/>
      <c r="D419" s="38" t="n"/>
      <c r="E419" s="38" t="n"/>
      <c r="F419" s="57">
        <f>IF(E419="","",IFERROR(INDEX(Referensi!$C$5:$C$60,MATCH(E419,Referensi!$A$5:$A$60,0)),"?"))</f>
        <v/>
      </c>
      <c r="G419" s="38" t="n"/>
      <c r="H419" s="59" t="n"/>
      <c r="I419" s="38" t="n"/>
      <c r="J419" s="39" t="n"/>
      <c r="K419" s="60">
        <f>IF(J419="","",SUMIFS(J$5:J419,D$5:D419,"Masuk")-SUMIFS(J$5:J419,D$5:D419,"Keluar"))</f>
        <v/>
      </c>
      <c r="L419" s="38" t="n"/>
      <c r="M419" s="38" t="n"/>
      <c r="N419" s="57">
        <f>IF(E419="","",IFERROR(IF(INDEX(Referensi!$B$5:$B$60,MATCH(E419,Referensi!$A$5:$A$60,0))=D419,"OK","Jenis tidak cocok"),"Kategori tidak dikenal"))</f>
        <v/>
      </c>
    </row>
    <row r="420" ht="15" customHeight="1" s="33">
      <c r="A420" s="57">
        <f>IF(B420="","",ROW()-4)</f>
        <v/>
      </c>
      <c r="B420" s="58" t="n"/>
      <c r="C420" s="38" t="n"/>
      <c r="D420" s="38" t="n"/>
      <c r="E420" s="38" t="n"/>
      <c r="F420" s="57">
        <f>IF(E420="","",IFERROR(INDEX(Referensi!$C$5:$C$60,MATCH(E420,Referensi!$A$5:$A$60,0)),"?"))</f>
        <v/>
      </c>
      <c r="G420" s="38" t="n"/>
      <c r="H420" s="59" t="n"/>
      <c r="I420" s="38" t="n"/>
      <c r="J420" s="39" t="n"/>
      <c r="K420" s="60">
        <f>IF(J420="","",SUMIFS(J$5:J420,D$5:D420,"Masuk")-SUMIFS(J$5:J420,D$5:D420,"Keluar"))</f>
        <v/>
      </c>
      <c r="L420" s="38" t="n"/>
      <c r="M420" s="38" t="n"/>
      <c r="N420" s="57">
        <f>IF(E420="","",IFERROR(IF(INDEX(Referensi!$B$5:$B$60,MATCH(E420,Referensi!$A$5:$A$60,0))=D420,"OK","Jenis tidak cocok"),"Kategori tidak dikenal"))</f>
        <v/>
      </c>
    </row>
    <row r="421" ht="15" customHeight="1" s="33">
      <c r="A421" s="57">
        <f>IF(B421="","",ROW()-4)</f>
        <v/>
      </c>
      <c r="B421" s="58" t="n"/>
      <c r="C421" s="38" t="n"/>
      <c r="D421" s="38" t="n"/>
      <c r="E421" s="38" t="n"/>
      <c r="F421" s="57">
        <f>IF(E421="","",IFERROR(INDEX(Referensi!$C$5:$C$60,MATCH(E421,Referensi!$A$5:$A$60,0)),"?"))</f>
        <v/>
      </c>
      <c r="G421" s="38" t="n"/>
      <c r="H421" s="59" t="n"/>
      <c r="I421" s="38" t="n"/>
      <c r="J421" s="39" t="n"/>
      <c r="K421" s="60">
        <f>IF(J421="","",SUMIFS(J$5:J421,D$5:D421,"Masuk")-SUMIFS(J$5:J421,D$5:D421,"Keluar"))</f>
        <v/>
      </c>
      <c r="L421" s="38" t="n"/>
      <c r="M421" s="38" t="n"/>
      <c r="N421" s="57">
        <f>IF(E421="","",IFERROR(IF(INDEX(Referensi!$B$5:$B$60,MATCH(E421,Referensi!$A$5:$A$60,0))=D421,"OK","Jenis tidak cocok"),"Kategori tidak dikenal"))</f>
        <v/>
      </c>
    </row>
    <row r="422" ht="15" customHeight="1" s="33">
      <c r="A422" s="57">
        <f>IF(B422="","",ROW()-4)</f>
        <v/>
      </c>
      <c r="B422" s="58" t="n"/>
      <c r="C422" s="38" t="n"/>
      <c r="D422" s="38" t="n"/>
      <c r="E422" s="38" t="n"/>
      <c r="F422" s="57">
        <f>IF(E422="","",IFERROR(INDEX(Referensi!$C$5:$C$60,MATCH(E422,Referensi!$A$5:$A$60,0)),"?"))</f>
        <v/>
      </c>
      <c r="G422" s="38" t="n"/>
      <c r="H422" s="59" t="n"/>
      <c r="I422" s="38" t="n"/>
      <c r="J422" s="39" t="n"/>
      <c r="K422" s="60">
        <f>IF(J422="","",SUMIFS(J$5:J422,D$5:D422,"Masuk")-SUMIFS(J$5:J422,D$5:D422,"Keluar"))</f>
        <v/>
      </c>
      <c r="L422" s="38" t="n"/>
      <c r="M422" s="38" t="n"/>
      <c r="N422" s="57">
        <f>IF(E422="","",IFERROR(IF(INDEX(Referensi!$B$5:$B$60,MATCH(E422,Referensi!$A$5:$A$60,0))=D422,"OK","Jenis tidak cocok"),"Kategori tidak dikenal"))</f>
        <v/>
      </c>
    </row>
    <row r="423" ht="15" customHeight="1" s="33">
      <c r="A423" s="57">
        <f>IF(B423="","",ROW()-4)</f>
        <v/>
      </c>
      <c r="B423" s="58" t="n"/>
      <c r="C423" s="38" t="n"/>
      <c r="D423" s="38" t="n"/>
      <c r="E423" s="38" t="n"/>
      <c r="F423" s="57">
        <f>IF(E423="","",IFERROR(INDEX(Referensi!$C$5:$C$60,MATCH(E423,Referensi!$A$5:$A$60,0)),"?"))</f>
        <v/>
      </c>
      <c r="G423" s="38" t="n"/>
      <c r="H423" s="59" t="n"/>
      <c r="I423" s="38" t="n"/>
      <c r="J423" s="39" t="n"/>
      <c r="K423" s="60">
        <f>IF(J423="","",SUMIFS(J$5:J423,D$5:D423,"Masuk")-SUMIFS(J$5:J423,D$5:D423,"Keluar"))</f>
        <v/>
      </c>
      <c r="L423" s="38" t="n"/>
      <c r="M423" s="38" t="n"/>
      <c r="N423" s="57">
        <f>IF(E423="","",IFERROR(IF(INDEX(Referensi!$B$5:$B$60,MATCH(E423,Referensi!$A$5:$A$60,0))=D423,"OK","Jenis tidak cocok"),"Kategori tidak dikenal"))</f>
        <v/>
      </c>
    </row>
    <row r="424" ht="15" customHeight="1" s="33">
      <c r="A424" s="57">
        <f>IF(B424="","",ROW()-4)</f>
        <v/>
      </c>
      <c r="B424" s="58" t="n"/>
      <c r="C424" s="38" t="n"/>
      <c r="D424" s="38" t="n"/>
      <c r="E424" s="38" t="n"/>
      <c r="F424" s="57">
        <f>IF(E424="","",IFERROR(INDEX(Referensi!$C$5:$C$60,MATCH(E424,Referensi!$A$5:$A$60,0)),"?"))</f>
        <v/>
      </c>
      <c r="G424" s="38" t="n"/>
      <c r="H424" s="59" t="n"/>
      <c r="I424" s="38" t="n"/>
      <c r="J424" s="39" t="n"/>
      <c r="K424" s="60">
        <f>IF(J424="","",SUMIFS(J$5:J424,D$5:D424,"Masuk")-SUMIFS(J$5:J424,D$5:D424,"Keluar"))</f>
        <v/>
      </c>
      <c r="L424" s="38" t="n"/>
      <c r="M424" s="38" t="n"/>
      <c r="N424" s="57">
        <f>IF(E424="","",IFERROR(IF(INDEX(Referensi!$B$5:$B$60,MATCH(E424,Referensi!$A$5:$A$60,0))=D424,"OK","Jenis tidak cocok"),"Kategori tidak dikenal"))</f>
        <v/>
      </c>
    </row>
    <row r="425" ht="15" customHeight="1" s="33">
      <c r="A425" s="57">
        <f>IF(B425="","",ROW()-4)</f>
        <v/>
      </c>
      <c r="B425" s="58" t="n"/>
      <c r="C425" s="38" t="n"/>
      <c r="D425" s="38" t="n"/>
      <c r="E425" s="38" t="n"/>
      <c r="F425" s="57">
        <f>IF(E425="","",IFERROR(INDEX(Referensi!$C$5:$C$60,MATCH(E425,Referensi!$A$5:$A$60,0)),"?"))</f>
        <v/>
      </c>
      <c r="G425" s="38" t="n"/>
      <c r="H425" s="59" t="n"/>
      <c r="I425" s="38" t="n"/>
      <c r="J425" s="39" t="n"/>
      <c r="K425" s="60">
        <f>IF(J425="","",SUMIFS(J$5:J425,D$5:D425,"Masuk")-SUMIFS(J$5:J425,D$5:D425,"Keluar"))</f>
        <v/>
      </c>
      <c r="L425" s="38" t="n"/>
      <c r="M425" s="38" t="n"/>
      <c r="N425" s="57">
        <f>IF(E425="","",IFERROR(IF(INDEX(Referensi!$B$5:$B$60,MATCH(E425,Referensi!$A$5:$A$60,0))=D425,"OK","Jenis tidak cocok"),"Kategori tidak dikenal"))</f>
        <v/>
      </c>
    </row>
    <row r="426" ht="15" customHeight="1" s="33">
      <c r="A426" s="57">
        <f>IF(B426="","",ROW()-4)</f>
        <v/>
      </c>
      <c r="B426" s="58" t="n"/>
      <c r="C426" s="38" t="n"/>
      <c r="D426" s="38" t="n"/>
      <c r="E426" s="38" t="n"/>
      <c r="F426" s="57">
        <f>IF(E426="","",IFERROR(INDEX(Referensi!$C$5:$C$60,MATCH(E426,Referensi!$A$5:$A$60,0)),"?"))</f>
        <v/>
      </c>
      <c r="G426" s="38" t="n"/>
      <c r="H426" s="59" t="n"/>
      <c r="I426" s="38" t="n"/>
      <c r="J426" s="39" t="n"/>
      <c r="K426" s="60">
        <f>IF(J426="","",SUMIFS(J$5:J426,D$5:D426,"Masuk")-SUMIFS(J$5:J426,D$5:D426,"Keluar"))</f>
        <v/>
      </c>
      <c r="L426" s="38" t="n"/>
      <c r="M426" s="38" t="n"/>
      <c r="N426" s="57">
        <f>IF(E426="","",IFERROR(IF(INDEX(Referensi!$B$5:$B$60,MATCH(E426,Referensi!$A$5:$A$60,0))=D426,"OK","Jenis tidak cocok"),"Kategori tidak dikenal"))</f>
        <v/>
      </c>
    </row>
    <row r="427" ht="15" customHeight="1" s="33">
      <c r="A427" s="57">
        <f>IF(B427="","",ROW()-4)</f>
        <v/>
      </c>
      <c r="B427" s="58" t="n"/>
      <c r="C427" s="38" t="n"/>
      <c r="D427" s="38" t="n"/>
      <c r="E427" s="38" t="n"/>
      <c r="F427" s="57">
        <f>IF(E427="","",IFERROR(INDEX(Referensi!$C$5:$C$60,MATCH(E427,Referensi!$A$5:$A$60,0)),"?"))</f>
        <v/>
      </c>
      <c r="G427" s="38" t="n"/>
      <c r="H427" s="59" t="n"/>
      <c r="I427" s="38" t="n"/>
      <c r="J427" s="39" t="n"/>
      <c r="K427" s="60">
        <f>IF(J427="","",SUMIFS(J$5:J427,D$5:D427,"Masuk")-SUMIFS(J$5:J427,D$5:D427,"Keluar"))</f>
        <v/>
      </c>
      <c r="L427" s="38" t="n"/>
      <c r="M427" s="38" t="n"/>
      <c r="N427" s="57">
        <f>IF(E427="","",IFERROR(IF(INDEX(Referensi!$B$5:$B$60,MATCH(E427,Referensi!$A$5:$A$60,0))=D427,"OK","Jenis tidak cocok"),"Kategori tidak dikenal"))</f>
        <v/>
      </c>
    </row>
    <row r="428" ht="15" customHeight="1" s="33">
      <c r="A428" s="57">
        <f>IF(B428="","",ROW()-4)</f>
        <v/>
      </c>
      <c r="B428" s="58" t="n"/>
      <c r="C428" s="38" t="n"/>
      <c r="D428" s="38" t="n"/>
      <c r="E428" s="38" t="n"/>
      <c r="F428" s="57">
        <f>IF(E428="","",IFERROR(INDEX(Referensi!$C$5:$C$60,MATCH(E428,Referensi!$A$5:$A$60,0)),"?"))</f>
        <v/>
      </c>
      <c r="G428" s="38" t="n"/>
      <c r="H428" s="59" t="n"/>
      <c r="I428" s="38" t="n"/>
      <c r="J428" s="39" t="n"/>
      <c r="K428" s="60">
        <f>IF(J428="","",SUMIFS(J$5:J428,D$5:D428,"Masuk")-SUMIFS(J$5:J428,D$5:D428,"Keluar"))</f>
        <v/>
      </c>
      <c r="L428" s="38" t="n"/>
      <c r="M428" s="38" t="n"/>
      <c r="N428" s="57">
        <f>IF(E428="","",IFERROR(IF(INDEX(Referensi!$B$5:$B$60,MATCH(E428,Referensi!$A$5:$A$60,0))=D428,"OK","Jenis tidak cocok"),"Kategori tidak dikenal"))</f>
        <v/>
      </c>
    </row>
    <row r="429" ht="15" customHeight="1" s="33">
      <c r="A429" s="57">
        <f>IF(B429="","",ROW()-4)</f>
        <v/>
      </c>
      <c r="B429" s="58" t="n"/>
      <c r="C429" s="38" t="n"/>
      <c r="D429" s="38" t="n"/>
      <c r="E429" s="38" t="n"/>
      <c r="F429" s="57">
        <f>IF(E429="","",IFERROR(INDEX(Referensi!$C$5:$C$60,MATCH(E429,Referensi!$A$5:$A$60,0)),"?"))</f>
        <v/>
      </c>
      <c r="G429" s="38" t="n"/>
      <c r="H429" s="59" t="n"/>
      <c r="I429" s="38" t="n"/>
      <c r="J429" s="39" t="n"/>
      <c r="K429" s="60">
        <f>IF(J429="","",SUMIFS(J$5:J429,D$5:D429,"Masuk")-SUMIFS(J$5:J429,D$5:D429,"Keluar"))</f>
        <v/>
      </c>
      <c r="L429" s="38" t="n"/>
      <c r="M429" s="38" t="n"/>
      <c r="N429" s="57">
        <f>IF(E429="","",IFERROR(IF(INDEX(Referensi!$B$5:$B$60,MATCH(E429,Referensi!$A$5:$A$60,0))=D429,"OK","Jenis tidak cocok"),"Kategori tidak dikenal"))</f>
        <v/>
      </c>
    </row>
    <row r="430" ht="15" customHeight="1" s="33">
      <c r="A430" s="57">
        <f>IF(B430="","",ROW()-4)</f>
        <v/>
      </c>
      <c r="B430" s="58" t="n"/>
      <c r="C430" s="38" t="n"/>
      <c r="D430" s="38" t="n"/>
      <c r="E430" s="38" t="n"/>
      <c r="F430" s="57">
        <f>IF(E430="","",IFERROR(INDEX(Referensi!$C$5:$C$60,MATCH(E430,Referensi!$A$5:$A$60,0)),"?"))</f>
        <v/>
      </c>
      <c r="G430" s="38" t="n"/>
      <c r="H430" s="59" t="n"/>
      <c r="I430" s="38" t="n"/>
      <c r="J430" s="39" t="n"/>
      <c r="K430" s="60">
        <f>IF(J430="","",SUMIFS(J$5:J430,D$5:D430,"Masuk")-SUMIFS(J$5:J430,D$5:D430,"Keluar"))</f>
        <v/>
      </c>
      <c r="L430" s="38" t="n"/>
      <c r="M430" s="38" t="n"/>
      <c r="N430" s="57">
        <f>IF(E430="","",IFERROR(IF(INDEX(Referensi!$B$5:$B$60,MATCH(E430,Referensi!$A$5:$A$60,0))=D430,"OK","Jenis tidak cocok"),"Kategori tidak dikenal"))</f>
        <v/>
      </c>
    </row>
    <row r="431" ht="15" customHeight="1" s="33">
      <c r="A431" s="57">
        <f>IF(B431="","",ROW()-4)</f>
        <v/>
      </c>
      <c r="B431" s="58" t="n"/>
      <c r="C431" s="38" t="n"/>
      <c r="D431" s="38" t="n"/>
      <c r="E431" s="38" t="n"/>
      <c r="F431" s="57">
        <f>IF(E431="","",IFERROR(INDEX(Referensi!$C$5:$C$60,MATCH(E431,Referensi!$A$5:$A$60,0)),"?"))</f>
        <v/>
      </c>
      <c r="G431" s="38" t="n"/>
      <c r="H431" s="59" t="n"/>
      <c r="I431" s="38" t="n"/>
      <c r="J431" s="39" t="n"/>
      <c r="K431" s="60">
        <f>IF(J431="","",SUMIFS(J$5:J431,D$5:D431,"Masuk")-SUMIFS(J$5:J431,D$5:D431,"Keluar"))</f>
        <v/>
      </c>
      <c r="L431" s="38" t="n"/>
      <c r="M431" s="38" t="n"/>
      <c r="N431" s="57">
        <f>IF(E431="","",IFERROR(IF(INDEX(Referensi!$B$5:$B$60,MATCH(E431,Referensi!$A$5:$A$60,0))=D431,"OK","Jenis tidak cocok"),"Kategori tidak dikenal"))</f>
        <v/>
      </c>
    </row>
    <row r="432" ht="15" customHeight="1" s="33">
      <c r="A432" s="57">
        <f>IF(B432="","",ROW()-4)</f>
        <v/>
      </c>
      <c r="B432" s="58" t="n"/>
      <c r="C432" s="38" t="n"/>
      <c r="D432" s="38" t="n"/>
      <c r="E432" s="38" t="n"/>
      <c r="F432" s="57">
        <f>IF(E432="","",IFERROR(INDEX(Referensi!$C$5:$C$60,MATCH(E432,Referensi!$A$5:$A$60,0)),"?"))</f>
        <v/>
      </c>
      <c r="G432" s="38" t="n"/>
      <c r="H432" s="59" t="n"/>
      <c r="I432" s="38" t="n"/>
      <c r="J432" s="39" t="n"/>
      <c r="K432" s="60">
        <f>IF(J432="","",SUMIFS(J$5:J432,D$5:D432,"Masuk")-SUMIFS(J$5:J432,D$5:D432,"Keluar"))</f>
        <v/>
      </c>
      <c r="L432" s="38" t="n"/>
      <c r="M432" s="38" t="n"/>
      <c r="N432" s="57">
        <f>IF(E432="","",IFERROR(IF(INDEX(Referensi!$B$5:$B$60,MATCH(E432,Referensi!$A$5:$A$60,0))=D432,"OK","Jenis tidak cocok"),"Kategori tidak dikenal"))</f>
        <v/>
      </c>
    </row>
    <row r="433" ht="15" customHeight="1" s="33">
      <c r="A433" s="57">
        <f>IF(B433="","",ROW()-4)</f>
        <v/>
      </c>
      <c r="B433" s="58" t="n"/>
      <c r="C433" s="38" t="n"/>
      <c r="D433" s="38" t="n"/>
      <c r="E433" s="38" t="n"/>
      <c r="F433" s="57">
        <f>IF(E433="","",IFERROR(INDEX(Referensi!$C$5:$C$60,MATCH(E433,Referensi!$A$5:$A$60,0)),"?"))</f>
        <v/>
      </c>
      <c r="G433" s="38" t="n"/>
      <c r="H433" s="59" t="n"/>
      <c r="I433" s="38" t="n"/>
      <c r="J433" s="39" t="n"/>
      <c r="K433" s="60">
        <f>IF(J433="","",SUMIFS(J$5:J433,D$5:D433,"Masuk")-SUMIFS(J$5:J433,D$5:D433,"Keluar"))</f>
        <v/>
      </c>
      <c r="L433" s="38" t="n"/>
      <c r="M433" s="38" t="n"/>
      <c r="N433" s="57">
        <f>IF(E433="","",IFERROR(IF(INDEX(Referensi!$B$5:$B$60,MATCH(E433,Referensi!$A$5:$A$60,0))=D433,"OK","Jenis tidak cocok"),"Kategori tidak dikenal"))</f>
        <v/>
      </c>
    </row>
    <row r="434" ht="15" customHeight="1" s="33">
      <c r="A434" s="57">
        <f>IF(B434="","",ROW()-4)</f>
        <v/>
      </c>
      <c r="B434" s="58" t="n"/>
      <c r="C434" s="38" t="n"/>
      <c r="D434" s="38" t="n"/>
      <c r="E434" s="38" t="n"/>
      <c r="F434" s="57">
        <f>IF(E434="","",IFERROR(INDEX(Referensi!$C$5:$C$60,MATCH(E434,Referensi!$A$5:$A$60,0)),"?"))</f>
        <v/>
      </c>
      <c r="G434" s="38" t="n"/>
      <c r="H434" s="59" t="n"/>
      <c r="I434" s="38" t="n"/>
      <c r="J434" s="39" t="n"/>
      <c r="K434" s="60">
        <f>IF(J434="","",SUMIFS(J$5:J434,D$5:D434,"Masuk")-SUMIFS(J$5:J434,D$5:D434,"Keluar"))</f>
        <v/>
      </c>
      <c r="L434" s="38" t="n"/>
      <c r="M434" s="38" t="n"/>
      <c r="N434" s="57">
        <f>IF(E434="","",IFERROR(IF(INDEX(Referensi!$B$5:$B$60,MATCH(E434,Referensi!$A$5:$A$60,0))=D434,"OK","Jenis tidak cocok"),"Kategori tidak dikenal"))</f>
        <v/>
      </c>
    </row>
    <row r="435" ht="15" customHeight="1" s="33">
      <c r="A435" s="57">
        <f>IF(B435="","",ROW()-4)</f>
        <v/>
      </c>
      <c r="B435" s="58" t="n"/>
      <c r="C435" s="38" t="n"/>
      <c r="D435" s="38" t="n"/>
      <c r="E435" s="38" t="n"/>
      <c r="F435" s="57">
        <f>IF(E435="","",IFERROR(INDEX(Referensi!$C$5:$C$60,MATCH(E435,Referensi!$A$5:$A$60,0)),"?"))</f>
        <v/>
      </c>
      <c r="G435" s="38" t="n"/>
      <c r="H435" s="59" t="n"/>
      <c r="I435" s="38" t="n"/>
      <c r="J435" s="39" t="n"/>
      <c r="K435" s="60">
        <f>IF(J435="","",SUMIFS(J$5:J435,D$5:D435,"Masuk")-SUMIFS(J$5:J435,D$5:D435,"Keluar"))</f>
        <v/>
      </c>
      <c r="L435" s="38" t="n"/>
      <c r="M435" s="38" t="n"/>
      <c r="N435" s="57">
        <f>IF(E435="","",IFERROR(IF(INDEX(Referensi!$B$5:$B$60,MATCH(E435,Referensi!$A$5:$A$60,0))=D435,"OK","Jenis tidak cocok"),"Kategori tidak dikenal"))</f>
        <v/>
      </c>
    </row>
    <row r="436" ht="15" customHeight="1" s="33">
      <c r="A436" s="57">
        <f>IF(B436="","",ROW()-4)</f>
        <v/>
      </c>
      <c r="B436" s="58" t="n"/>
      <c r="C436" s="38" t="n"/>
      <c r="D436" s="38" t="n"/>
      <c r="E436" s="38" t="n"/>
      <c r="F436" s="57">
        <f>IF(E436="","",IFERROR(INDEX(Referensi!$C$5:$C$60,MATCH(E436,Referensi!$A$5:$A$60,0)),"?"))</f>
        <v/>
      </c>
      <c r="G436" s="38" t="n"/>
      <c r="H436" s="59" t="n"/>
      <c r="I436" s="38" t="n"/>
      <c r="J436" s="39" t="n"/>
      <c r="K436" s="60">
        <f>IF(J436="","",SUMIFS(J$5:J436,D$5:D436,"Masuk")-SUMIFS(J$5:J436,D$5:D436,"Keluar"))</f>
        <v/>
      </c>
      <c r="L436" s="38" t="n"/>
      <c r="M436" s="38" t="n"/>
      <c r="N436" s="57">
        <f>IF(E436="","",IFERROR(IF(INDEX(Referensi!$B$5:$B$60,MATCH(E436,Referensi!$A$5:$A$60,0))=D436,"OK","Jenis tidak cocok"),"Kategori tidak dikenal"))</f>
        <v/>
      </c>
    </row>
    <row r="437" ht="15" customHeight="1" s="33">
      <c r="A437" s="57">
        <f>IF(B437="","",ROW()-4)</f>
        <v/>
      </c>
      <c r="B437" s="58" t="n"/>
      <c r="C437" s="38" t="n"/>
      <c r="D437" s="38" t="n"/>
      <c r="E437" s="38" t="n"/>
      <c r="F437" s="57">
        <f>IF(E437="","",IFERROR(INDEX(Referensi!$C$5:$C$60,MATCH(E437,Referensi!$A$5:$A$60,0)),"?"))</f>
        <v/>
      </c>
      <c r="G437" s="38" t="n"/>
      <c r="H437" s="59" t="n"/>
      <c r="I437" s="38" t="n"/>
      <c r="J437" s="39" t="n"/>
      <c r="K437" s="60">
        <f>IF(J437="","",SUMIFS(J$5:J437,D$5:D437,"Masuk")-SUMIFS(J$5:J437,D$5:D437,"Keluar"))</f>
        <v/>
      </c>
      <c r="L437" s="38" t="n"/>
      <c r="M437" s="38" t="n"/>
      <c r="N437" s="57">
        <f>IF(E437="","",IFERROR(IF(INDEX(Referensi!$B$5:$B$60,MATCH(E437,Referensi!$A$5:$A$60,0))=D437,"OK","Jenis tidak cocok"),"Kategori tidak dikenal"))</f>
        <v/>
      </c>
    </row>
    <row r="438" ht="15" customHeight="1" s="33">
      <c r="A438" s="57">
        <f>IF(B438="","",ROW()-4)</f>
        <v/>
      </c>
      <c r="B438" s="58" t="n"/>
      <c r="C438" s="38" t="n"/>
      <c r="D438" s="38" t="n"/>
      <c r="E438" s="38" t="n"/>
      <c r="F438" s="57">
        <f>IF(E438="","",IFERROR(INDEX(Referensi!$C$5:$C$60,MATCH(E438,Referensi!$A$5:$A$60,0)),"?"))</f>
        <v/>
      </c>
      <c r="G438" s="38" t="n"/>
      <c r="H438" s="59" t="n"/>
      <c r="I438" s="38" t="n"/>
      <c r="J438" s="39" t="n"/>
      <c r="K438" s="60">
        <f>IF(J438="","",SUMIFS(J$5:J438,D$5:D438,"Masuk")-SUMIFS(J$5:J438,D$5:D438,"Keluar"))</f>
        <v/>
      </c>
      <c r="L438" s="38" t="n"/>
      <c r="M438" s="38" t="n"/>
      <c r="N438" s="57">
        <f>IF(E438="","",IFERROR(IF(INDEX(Referensi!$B$5:$B$60,MATCH(E438,Referensi!$A$5:$A$60,0))=D438,"OK","Jenis tidak cocok"),"Kategori tidak dikenal"))</f>
        <v/>
      </c>
    </row>
    <row r="439" ht="15" customHeight="1" s="33">
      <c r="A439" s="57">
        <f>IF(B439="","",ROW()-4)</f>
        <v/>
      </c>
      <c r="B439" s="58" t="n"/>
      <c r="C439" s="38" t="n"/>
      <c r="D439" s="38" t="n"/>
      <c r="E439" s="38" t="n"/>
      <c r="F439" s="57">
        <f>IF(E439="","",IFERROR(INDEX(Referensi!$C$5:$C$60,MATCH(E439,Referensi!$A$5:$A$60,0)),"?"))</f>
        <v/>
      </c>
      <c r="G439" s="38" t="n"/>
      <c r="H439" s="59" t="n"/>
      <c r="I439" s="38" t="n"/>
      <c r="J439" s="39" t="n"/>
      <c r="K439" s="60">
        <f>IF(J439="","",SUMIFS(J$5:J439,D$5:D439,"Masuk")-SUMIFS(J$5:J439,D$5:D439,"Keluar"))</f>
        <v/>
      </c>
      <c r="L439" s="38" t="n"/>
      <c r="M439" s="38" t="n"/>
      <c r="N439" s="57">
        <f>IF(E439="","",IFERROR(IF(INDEX(Referensi!$B$5:$B$60,MATCH(E439,Referensi!$A$5:$A$60,0))=D439,"OK","Jenis tidak cocok"),"Kategori tidak dikenal"))</f>
        <v/>
      </c>
    </row>
    <row r="440" ht="15" customHeight="1" s="33">
      <c r="A440" s="57">
        <f>IF(B440="","",ROW()-4)</f>
        <v/>
      </c>
      <c r="B440" s="58" t="n"/>
      <c r="C440" s="38" t="n"/>
      <c r="D440" s="38" t="n"/>
      <c r="E440" s="38" t="n"/>
      <c r="F440" s="57">
        <f>IF(E440="","",IFERROR(INDEX(Referensi!$C$5:$C$60,MATCH(E440,Referensi!$A$5:$A$60,0)),"?"))</f>
        <v/>
      </c>
      <c r="G440" s="38" t="n"/>
      <c r="H440" s="59" t="n"/>
      <c r="I440" s="38" t="n"/>
      <c r="J440" s="39" t="n"/>
      <c r="K440" s="60">
        <f>IF(J440="","",SUMIFS(J$5:J440,D$5:D440,"Masuk")-SUMIFS(J$5:J440,D$5:D440,"Keluar"))</f>
        <v/>
      </c>
      <c r="L440" s="38" t="n"/>
      <c r="M440" s="38" t="n"/>
      <c r="N440" s="57">
        <f>IF(E440="","",IFERROR(IF(INDEX(Referensi!$B$5:$B$60,MATCH(E440,Referensi!$A$5:$A$60,0))=D440,"OK","Jenis tidak cocok"),"Kategori tidak dikenal"))</f>
        <v/>
      </c>
    </row>
    <row r="441" ht="15" customHeight="1" s="33">
      <c r="A441" s="57">
        <f>IF(B441="","",ROW()-4)</f>
        <v/>
      </c>
      <c r="B441" s="58" t="n"/>
      <c r="C441" s="38" t="n"/>
      <c r="D441" s="38" t="n"/>
      <c r="E441" s="38" t="n"/>
      <c r="F441" s="57">
        <f>IF(E441="","",IFERROR(INDEX(Referensi!$C$5:$C$60,MATCH(E441,Referensi!$A$5:$A$60,0)),"?"))</f>
        <v/>
      </c>
      <c r="G441" s="38" t="n"/>
      <c r="H441" s="59" t="n"/>
      <c r="I441" s="38" t="n"/>
      <c r="J441" s="39" t="n"/>
      <c r="K441" s="60">
        <f>IF(J441="","",SUMIFS(J$5:J441,D$5:D441,"Masuk")-SUMIFS(J$5:J441,D$5:D441,"Keluar"))</f>
        <v/>
      </c>
      <c r="L441" s="38" t="n"/>
      <c r="M441" s="38" t="n"/>
      <c r="N441" s="57">
        <f>IF(E441="","",IFERROR(IF(INDEX(Referensi!$B$5:$B$60,MATCH(E441,Referensi!$A$5:$A$60,0))=D441,"OK","Jenis tidak cocok"),"Kategori tidak dikenal"))</f>
        <v/>
      </c>
    </row>
    <row r="442" ht="15" customHeight="1" s="33">
      <c r="A442" s="57">
        <f>IF(B442="","",ROW()-4)</f>
        <v/>
      </c>
      <c r="B442" s="58" t="n"/>
      <c r="C442" s="38" t="n"/>
      <c r="D442" s="38" t="n"/>
      <c r="E442" s="38" t="n"/>
      <c r="F442" s="57">
        <f>IF(E442="","",IFERROR(INDEX(Referensi!$C$5:$C$60,MATCH(E442,Referensi!$A$5:$A$60,0)),"?"))</f>
        <v/>
      </c>
      <c r="G442" s="38" t="n"/>
      <c r="H442" s="59" t="n"/>
      <c r="I442" s="38" t="n"/>
      <c r="J442" s="39" t="n"/>
      <c r="K442" s="60">
        <f>IF(J442="","",SUMIFS(J$5:J442,D$5:D442,"Masuk")-SUMIFS(J$5:J442,D$5:D442,"Keluar"))</f>
        <v/>
      </c>
      <c r="L442" s="38" t="n"/>
      <c r="M442" s="38" t="n"/>
      <c r="N442" s="57">
        <f>IF(E442="","",IFERROR(IF(INDEX(Referensi!$B$5:$B$60,MATCH(E442,Referensi!$A$5:$A$60,0))=D442,"OK","Jenis tidak cocok"),"Kategori tidak dikenal"))</f>
        <v/>
      </c>
    </row>
    <row r="443" ht="15" customHeight="1" s="33">
      <c r="A443" s="57">
        <f>IF(B443="","",ROW()-4)</f>
        <v/>
      </c>
      <c r="B443" s="58" t="n"/>
      <c r="C443" s="38" t="n"/>
      <c r="D443" s="38" t="n"/>
      <c r="E443" s="38" t="n"/>
      <c r="F443" s="57">
        <f>IF(E443="","",IFERROR(INDEX(Referensi!$C$5:$C$60,MATCH(E443,Referensi!$A$5:$A$60,0)),"?"))</f>
        <v/>
      </c>
      <c r="G443" s="38" t="n"/>
      <c r="H443" s="59" t="n"/>
      <c r="I443" s="38" t="n"/>
      <c r="J443" s="39" t="n"/>
      <c r="K443" s="60">
        <f>IF(J443="","",SUMIFS(J$5:J443,D$5:D443,"Masuk")-SUMIFS(J$5:J443,D$5:D443,"Keluar"))</f>
        <v/>
      </c>
      <c r="L443" s="38" t="n"/>
      <c r="M443" s="38" t="n"/>
      <c r="N443" s="57">
        <f>IF(E443="","",IFERROR(IF(INDEX(Referensi!$B$5:$B$60,MATCH(E443,Referensi!$A$5:$A$60,0))=D443,"OK","Jenis tidak cocok"),"Kategori tidak dikenal"))</f>
        <v/>
      </c>
    </row>
    <row r="444" ht="15" customHeight="1" s="33">
      <c r="A444" s="57">
        <f>IF(B444="","",ROW()-4)</f>
        <v/>
      </c>
      <c r="B444" s="58" t="n"/>
      <c r="C444" s="38" t="n"/>
      <c r="D444" s="38" t="n"/>
      <c r="E444" s="38" t="n"/>
      <c r="F444" s="57">
        <f>IF(E444="","",IFERROR(INDEX(Referensi!$C$5:$C$60,MATCH(E444,Referensi!$A$5:$A$60,0)),"?"))</f>
        <v/>
      </c>
      <c r="G444" s="38" t="n"/>
      <c r="H444" s="59" t="n"/>
      <c r="I444" s="38" t="n"/>
      <c r="J444" s="39" t="n"/>
      <c r="K444" s="60">
        <f>IF(J444="","",SUMIFS(J$5:J444,D$5:D444,"Masuk")-SUMIFS(J$5:J444,D$5:D444,"Keluar"))</f>
        <v/>
      </c>
      <c r="L444" s="38" t="n"/>
      <c r="M444" s="38" t="n"/>
      <c r="N444" s="57">
        <f>IF(E444="","",IFERROR(IF(INDEX(Referensi!$B$5:$B$60,MATCH(E444,Referensi!$A$5:$A$60,0))=D444,"OK","Jenis tidak cocok"),"Kategori tidak dikenal"))</f>
        <v/>
      </c>
    </row>
    <row r="445" ht="15" customHeight="1" s="33">
      <c r="A445" s="57">
        <f>IF(B445="","",ROW()-4)</f>
        <v/>
      </c>
      <c r="B445" s="58" t="n"/>
      <c r="C445" s="38" t="n"/>
      <c r="D445" s="38" t="n"/>
      <c r="E445" s="38" t="n"/>
      <c r="F445" s="57">
        <f>IF(E445="","",IFERROR(INDEX(Referensi!$C$5:$C$60,MATCH(E445,Referensi!$A$5:$A$60,0)),"?"))</f>
        <v/>
      </c>
      <c r="G445" s="38" t="n"/>
      <c r="H445" s="59" t="n"/>
      <c r="I445" s="38" t="n"/>
      <c r="J445" s="39" t="n"/>
      <c r="K445" s="60">
        <f>IF(J445="","",SUMIFS(J$5:J445,D$5:D445,"Masuk")-SUMIFS(J$5:J445,D$5:D445,"Keluar"))</f>
        <v/>
      </c>
      <c r="L445" s="38" t="n"/>
      <c r="M445" s="38" t="n"/>
      <c r="N445" s="57">
        <f>IF(E445="","",IFERROR(IF(INDEX(Referensi!$B$5:$B$60,MATCH(E445,Referensi!$A$5:$A$60,0))=D445,"OK","Jenis tidak cocok"),"Kategori tidak dikenal"))</f>
        <v/>
      </c>
    </row>
    <row r="446" ht="15" customHeight="1" s="33">
      <c r="A446" s="57">
        <f>IF(B446="","",ROW()-4)</f>
        <v/>
      </c>
      <c r="B446" s="58" t="n"/>
      <c r="C446" s="38" t="n"/>
      <c r="D446" s="38" t="n"/>
      <c r="E446" s="38" t="n"/>
      <c r="F446" s="57">
        <f>IF(E446="","",IFERROR(INDEX(Referensi!$C$5:$C$60,MATCH(E446,Referensi!$A$5:$A$60,0)),"?"))</f>
        <v/>
      </c>
      <c r="G446" s="38" t="n"/>
      <c r="H446" s="59" t="n"/>
      <c r="I446" s="38" t="n"/>
      <c r="J446" s="39" t="n"/>
      <c r="K446" s="60">
        <f>IF(J446="","",SUMIFS(J$5:J446,D$5:D446,"Masuk")-SUMIFS(J$5:J446,D$5:D446,"Keluar"))</f>
        <v/>
      </c>
      <c r="L446" s="38" t="n"/>
      <c r="M446" s="38" t="n"/>
      <c r="N446" s="57">
        <f>IF(E446="","",IFERROR(IF(INDEX(Referensi!$B$5:$B$60,MATCH(E446,Referensi!$A$5:$A$60,0))=D446,"OK","Jenis tidak cocok"),"Kategori tidak dikenal"))</f>
        <v/>
      </c>
    </row>
    <row r="447" ht="15" customHeight="1" s="33">
      <c r="A447" s="57">
        <f>IF(B447="","",ROW()-4)</f>
        <v/>
      </c>
      <c r="B447" s="58" t="n"/>
      <c r="C447" s="38" t="n"/>
      <c r="D447" s="38" t="n"/>
      <c r="E447" s="38" t="n"/>
      <c r="F447" s="57">
        <f>IF(E447="","",IFERROR(INDEX(Referensi!$C$5:$C$60,MATCH(E447,Referensi!$A$5:$A$60,0)),"?"))</f>
        <v/>
      </c>
      <c r="G447" s="38" t="n"/>
      <c r="H447" s="59" t="n"/>
      <c r="I447" s="38" t="n"/>
      <c r="J447" s="39" t="n"/>
      <c r="K447" s="60">
        <f>IF(J447="","",SUMIFS(J$5:J447,D$5:D447,"Masuk")-SUMIFS(J$5:J447,D$5:D447,"Keluar"))</f>
        <v/>
      </c>
      <c r="L447" s="38" t="n"/>
      <c r="M447" s="38" t="n"/>
      <c r="N447" s="57">
        <f>IF(E447="","",IFERROR(IF(INDEX(Referensi!$B$5:$B$60,MATCH(E447,Referensi!$A$5:$A$60,0))=D447,"OK","Jenis tidak cocok"),"Kategori tidak dikenal"))</f>
        <v/>
      </c>
    </row>
    <row r="448" ht="15" customHeight="1" s="33">
      <c r="A448" s="57">
        <f>IF(B448="","",ROW()-4)</f>
        <v/>
      </c>
      <c r="B448" s="58" t="n"/>
      <c r="C448" s="38" t="n"/>
      <c r="D448" s="38" t="n"/>
      <c r="E448" s="38" t="n"/>
      <c r="F448" s="57">
        <f>IF(E448="","",IFERROR(INDEX(Referensi!$C$5:$C$60,MATCH(E448,Referensi!$A$5:$A$60,0)),"?"))</f>
        <v/>
      </c>
      <c r="G448" s="38" t="n"/>
      <c r="H448" s="59" t="n"/>
      <c r="I448" s="38" t="n"/>
      <c r="J448" s="39" t="n"/>
      <c r="K448" s="60">
        <f>IF(J448="","",SUMIFS(J$5:J448,D$5:D448,"Masuk")-SUMIFS(J$5:J448,D$5:D448,"Keluar"))</f>
        <v/>
      </c>
      <c r="L448" s="38" t="n"/>
      <c r="M448" s="38" t="n"/>
      <c r="N448" s="57">
        <f>IF(E448="","",IFERROR(IF(INDEX(Referensi!$B$5:$B$60,MATCH(E448,Referensi!$A$5:$A$60,0))=D448,"OK","Jenis tidak cocok"),"Kategori tidak dikenal"))</f>
        <v/>
      </c>
    </row>
    <row r="449" ht="15" customHeight="1" s="33">
      <c r="A449" s="57">
        <f>IF(B449="","",ROW()-4)</f>
        <v/>
      </c>
      <c r="B449" s="58" t="n"/>
      <c r="C449" s="38" t="n"/>
      <c r="D449" s="38" t="n"/>
      <c r="E449" s="38" t="n"/>
      <c r="F449" s="57">
        <f>IF(E449="","",IFERROR(INDEX(Referensi!$C$5:$C$60,MATCH(E449,Referensi!$A$5:$A$60,0)),"?"))</f>
        <v/>
      </c>
      <c r="G449" s="38" t="n"/>
      <c r="H449" s="59" t="n"/>
      <c r="I449" s="38" t="n"/>
      <c r="J449" s="39" t="n"/>
      <c r="K449" s="60">
        <f>IF(J449="","",SUMIFS(J$5:J449,D$5:D449,"Masuk")-SUMIFS(J$5:J449,D$5:D449,"Keluar"))</f>
        <v/>
      </c>
      <c r="L449" s="38" t="n"/>
      <c r="M449" s="38" t="n"/>
      <c r="N449" s="57">
        <f>IF(E449="","",IFERROR(IF(INDEX(Referensi!$B$5:$B$60,MATCH(E449,Referensi!$A$5:$A$60,0))=D449,"OK","Jenis tidak cocok"),"Kategori tidak dikenal"))</f>
        <v/>
      </c>
    </row>
    <row r="450" ht="15" customHeight="1" s="33">
      <c r="A450" s="57">
        <f>IF(B450="","",ROW()-4)</f>
        <v/>
      </c>
      <c r="B450" s="58" t="n"/>
      <c r="C450" s="38" t="n"/>
      <c r="D450" s="38" t="n"/>
      <c r="E450" s="38" t="n"/>
      <c r="F450" s="57">
        <f>IF(E450="","",IFERROR(INDEX(Referensi!$C$5:$C$60,MATCH(E450,Referensi!$A$5:$A$60,0)),"?"))</f>
        <v/>
      </c>
      <c r="G450" s="38" t="n"/>
      <c r="H450" s="59" t="n"/>
      <c r="I450" s="38" t="n"/>
      <c r="J450" s="39" t="n"/>
      <c r="K450" s="60">
        <f>IF(J450="","",SUMIFS(J$5:J450,D$5:D450,"Masuk")-SUMIFS(J$5:J450,D$5:D450,"Keluar"))</f>
        <v/>
      </c>
      <c r="L450" s="38" t="n"/>
      <c r="M450" s="38" t="n"/>
      <c r="N450" s="57">
        <f>IF(E450="","",IFERROR(IF(INDEX(Referensi!$B$5:$B$60,MATCH(E450,Referensi!$A$5:$A$60,0))=D450,"OK","Jenis tidak cocok"),"Kategori tidak dikenal"))</f>
        <v/>
      </c>
    </row>
    <row r="451" ht="15" customHeight="1" s="33">
      <c r="A451" s="57">
        <f>IF(B451="","",ROW()-4)</f>
        <v/>
      </c>
      <c r="B451" s="58" t="n"/>
      <c r="C451" s="38" t="n"/>
      <c r="D451" s="38" t="n"/>
      <c r="E451" s="38" t="n"/>
      <c r="F451" s="57">
        <f>IF(E451="","",IFERROR(INDEX(Referensi!$C$5:$C$60,MATCH(E451,Referensi!$A$5:$A$60,0)),"?"))</f>
        <v/>
      </c>
      <c r="G451" s="38" t="n"/>
      <c r="H451" s="59" t="n"/>
      <c r="I451" s="38" t="n"/>
      <c r="J451" s="39" t="n"/>
      <c r="K451" s="60">
        <f>IF(J451="","",SUMIFS(J$5:J451,D$5:D451,"Masuk")-SUMIFS(J$5:J451,D$5:D451,"Keluar"))</f>
        <v/>
      </c>
      <c r="L451" s="38" t="n"/>
      <c r="M451" s="38" t="n"/>
      <c r="N451" s="57">
        <f>IF(E451="","",IFERROR(IF(INDEX(Referensi!$B$5:$B$60,MATCH(E451,Referensi!$A$5:$A$60,0))=D451,"OK","Jenis tidak cocok"),"Kategori tidak dikenal"))</f>
        <v/>
      </c>
    </row>
    <row r="452" ht="15" customHeight="1" s="33">
      <c r="A452" s="57">
        <f>IF(B452="","",ROW()-4)</f>
        <v/>
      </c>
      <c r="B452" s="58" t="n"/>
      <c r="C452" s="38" t="n"/>
      <c r="D452" s="38" t="n"/>
      <c r="E452" s="38" t="n"/>
      <c r="F452" s="57">
        <f>IF(E452="","",IFERROR(INDEX(Referensi!$C$5:$C$60,MATCH(E452,Referensi!$A$5:$A$60,0)),"?"))</f>
        <v/>
      </c>
      <c r="G452" s="38" t="n"/>
      <c r="H452" s="59" t="n"/>
      <c r="I452" s="38" t="n"/>
      <c r="J452" s="39" t="n"/>
      <c r="K452" s="60">
        <f>IF(J452="","",SUMIFS(J$5:J452,D$5:D452,"Masuk")-SUMIFS(J$5:J452,D$5:D452,"Keluar"))</f>
        <v/>
      </c>
      <c r="L452" s="38" t="n"/>
      <c r="M452" s="38" t="n"/>
      <c r="N452" s="57">
        <f>IF(E452="","",IFERROR(IF(INDEX(Referensi!$B$5:$B$60,MATCH(E452,Referensi!$A$5:$A$60,0))=D452,"OK","Jenis tidak cocok"),"Kategori tidak dikenal"))</f>
        <v/>
      </c>
    </row>
    <row r="453" ht="15" customHeight="1" s="33">
      <c r="A453" s="57">
        <f>IF(B453="","",ROW()-4)</f>
        <v/>
      </c>
      <c r="B453" s="58" t="n"/>
      <c r="C453" s="38" t="n"/>
      <c r="D453" s="38" t="n"/>
      <c r="E453" s="38" t="n"/>
      <c r="F453" s="57">
        <f>IF(E453="","",IFERROR(INDEX(Referensi!$C$5:$C$60,MATCH(E453,Referensi!$A$5:$A$60,0)),"?"))</f>
        <v/>
      </c>
      <c r="G453" s="38" t="n"/>
      <c r="H453" s="59" t="n"/>
      <c r="I453" s="38" t="n"/>
      <c r="J453" s="39" t="n"/>
      <c r="K453" s="60">
        <f>IF(J453="","",SUMIFS(J$5:J453,D$5:D453,"Masuk")-SUMIFS(J$5:J453,D$5:D453,"Keluar"))</f>
        <v/>
      </c>
      <c r="L453" s="38" t="n"/>
      <c r="M453" s="38" t="n"/>
      <c r="N453" s="57">
        <f>IF(E453="","",IFERROR(IF(INDEX(Referensi!$B$5:$B$60,MATCH(E453,Referensi!$A$5:$A$60,0))=D453,"OK","Jenis tidak cocok"),"Kategori tidak dikenal"))</f>
        <v/>
      </c>
    </row>
    <row r="454" ht="15" customHeight="1" s="33">
      <c r="A454" s="57">
        <f>IF(B454="","",ROW()-4)</f>
        <v/>
      </c>
      <c r="B454" s="58" t="n"/>
      <c r="C454" s="38" t="n"/>
      <c r="D454" s="38" t="n"/>
      <c r="E454" s="38" t="n"/>
      <c r="F454" s="57">
        <f>IF(E454="","",IFERROR(INDEX(Referensi!$C$5:$C$60,MATCH(E454,Referensi!$A$5:$A$60,0)),"?"))</f>
        <v/>
      </c>
      <c r="G454" s="38" t="n"/>
      <c r="H454" s="59" t="n"/>
      <c r="I454" s="38" t="n"/>
      <c r="J454" s="39" t="n"/>
      <c r="K454" s="60">
        <f>IF(J454="","",SUMIFS(J$5:J454,D$5:D454,"Masuk")-SUMIFS(J$5:J454,D$5:D454,"Keluar"))</f>
        <v/>
      </c>
      <c r="L454" s="38" t="n"/>
      <c r="M454" s="38" t="n"/>
      <c r="N454" s="57">
        <f>IF(E454="","",IFERROR(IF(INDEX(Referensi!$B$5:$B$60,MATCH(E454,Referensi!$A$5:$A$60,0))=D454,"OK","Jenis tidak cocok"),"Kategori tidak dikenal"))</f>
        <v/>
      </c>
    </row>
    <row r="455" ht="15" customHeight="1" s="33">
      <c r="A455" s="57">
        <f>IF(B455="","",ROW()-4)</f>
        <v/>
      </c>
      <c r="B455" s="58" t="n"/>
      <c r="C455" s="38" t="n"/>
      <c r="D455" s="38" t="n"/>
      <c r="E455" s="38" t="n"/>
      <c r="F455" s="57">
        <f>IF(E455="","",IFERROR(INDEX(Referensi!$C$5:$C$60,MATCH(E455,Referensi!$A$5:$A$60,0)),"?"))</f>
        <v/>
      </c>
      <c r="G455" s="38" t="n"/>
      <c r="H455" s="59" t="n"/>
      <c r="I455" s="38" t="n"/>
      <c r="J455" s="39" t="n"/>
      <c r="K455" s="60">
        <f>IF(J455="","",SUMIFS(J$5:J455,D$5:D455,"Masuk")-SUMIFS(J$5:J455,D$5:D455,"Keluar"))</f>
        <v/>
      </c>
      <c r="L455" s="38" t="n"/>
      <c r="M455" s="38" t="n"/>
      <c r="N455" s="57">
        <f>IF(E455="","",IFERROR(IF(INDEX(Referensi!$B$5:$B$60,MATCH(E455,Referensi!$A$5:$A$60,0))=D455,"OK","Jenis tidak cocok"),"Kategori tidak dikenal"))</f>
        <v/>
      </c>
    </row>
    <row r="456" ht="15" customHeight="1" s="33">
      <c r="A456" s="57">
        <f>IF(B456="","",ROW()-4)</f>
        <v/>
      </c>
      <c r="B456" s="58" t="n"/>
      <c r="C456" s="38" t="n"/>
      <c r="D456" s="38" t="n"/>
      <c r="E456" s="38" t="n"/>
      <c r="F456" s="57">
        <f>IF(E456="","",IFERROR(INDEX(Referensi!$C$5:$C$60,MATCH(E456,Referensi!$A$5:$A$60,0)),"?"))</f>
        <v/>
      </c>
      <c r="G456" s="38" t="n"/>
      <c r="H456" s="59" t="n"/>
      <c r="I456" s="38" t="n"/>
      <c r="J456" s="39" t="n"/>
      <c r="K456" s="60">
        <f>IF(J456="","",SUMIFS(J$5:J456,D$5:D456,"Masuk")-SUMIFS(J$5:J456,D$5:D456,"Keluar"))</f>
        <v/>
      </c>
      <c r="L456" s="38" t="n"/>
      <c r="M456" s="38" t="n"/>
      <c r="N456" s="57">
        <f>IF(E456="","",IFERROR(IF(INDEX(Referensi!$B$5:$B$60,MATCH(E456,Referensi!$A$5:$A$60,0))=D456,"OK","Jenis tidak cocok"),"Kategori tidak dikenal"))</f>
        <v/>
      </c>
    </row>
    <row r="457" ht="15" customHeight="1" s="33">
      <c r="A457" s="57">
        <f>IF(B457="","",ROW()-4)</f>
        <v/>
      </c>
      <c r="B457" s="58" t="n"/>
      <c r="C457" s="38" t="n"/>
      <c r="D457" s="38" t="n"/>
      <c r="E457" s="38" t="n"/>
      <c r="F457" s="57">
        <f>IF(E457="","",IFERROR(INDEX(Referensi!$C$5:$C$60,MATCH(E457,Referensi!$A$5:$A$60,0)),"?"))</f>
        <v/>
      </c>
      <c r="G457" s="38" t="n"/>
      <c r="H457" s="59" t="n"/>
      <c r="I457" s="38" t="n"/>
      <c r="J457" s="39" t="n"/>
      <c r="K457" s="60">
        <f>IF(J457="","",SUMIFS(J$5:J457,D$5:D457,"Masuk")-SUMIFS(J$5:J457,D$5:D457,"Keluar"))</f>
        <v/>
      </c>
      <c r="L457" s="38" t="n"/>
      <c r="M457" s="38" t="n"/>
      <c r="N457" s="57">
        <f>IF(E457="","",IFERROR(IF(INDEX(Referensi!$B$5:$B$60,MATCH(E457,Referensi!$A$5:$A$60,0))=D457,"OK","Jenis tidak cocok"),"Kategori tidak dikenal"))</f>
        <v/>
      </c>
    </row>
    <row r="458" ht="15" customHeight="1" s="33">
      <c r="A458" s="57">
        <f>IF(B458="","",ROW()-4)</f>
        <v/>
      </c>
      <c r="B458" s="58" t="n"/>
      <c r="C458" s="38" t="n"/>
      <c r="D458" s="38" t="n"/>
      <c r="E458" s="38" t="n"/>
      <c r="F458" s="57">
        <f>IF(E458="","",IFERROR(INDEX(Referensi!$C$5:$C$60,MATCH(E458,Referensi!$A$5:$A$60,0)),"?"))</f>
        <v/>
      </c>
      <c r="G458" s="38" t="n"/>
      <c r="H458" s="59" t="n"/>
      <c r="I458" s="38" t="n"/>
      <c r="J458" s="39" t="n"/>
      <c r="K458" s="60">
        <f>IF(J458="","",SUMIFS(J$5:J458,D$5:D458,"Masuk")-SUMIFS(J$5:J458,D$5:D458,"Keluar"))</f>
        <v/>
      </c>
      <c r="L458" s="38" t="n"/>
      <c r="M458" s="38" t="n"/>
      <c r="N458" s="57">
        <f>IF(E458="","",IFERROR(IF(INDEX(Referensi!$B$5:$B$60,MATCH(E458,Referensi!$A$5:$A$60,0))=D458,"OK","Jenis tidak cocok"),"Kategori tidak dikenal"))</f>
        <v/>
      </c>
    </row>
    <row r="459" ht="15" customHeight="1" s="33">
      <c r="A459" s="57">
        <f>IF(B459="","",ROW()-4)</f>
        <v/>
      </c>
      <c r="B459" s="58" t="n"/>
      <c r="C459" s="38" t="n"/>
      <c r="D459" s="38" t="n"/>
      <c r="E459" s="38" t="n"/>
      <c r="F459" s="57">
        <f>IF(E459="","",IFERROR(INDEX(Referensi!$C$5:$C$60,MATCH(E459,Referensi!$A$5:$A$60,0)),"?"))</f>
        <v/>
      </c>
      <c r="G459" s="38" t="n"/>
      <c r="H459" s="59" t="n"/>
      <c r="I459" s="38" t="n"/>
      <c r="J459" s="39" t="n"/>
      <c r="K459" s="60">
        <f>IF(J459="","",SUMIFS(J$5:J459,D$5:D459,"Masuk")-SUMIFS(J$5:J459,D$5:D459,"Keluar"))</f>
        <v/>
      </c>
      <c r="L459" s="38" t="n"/>
      <c r="M459" s="38" t="n"/>
      <c r="N459" s="57">
        <f>IF(E459="","",IFERROR(IF(INDEX(Referensi!$B$5:$B$60,MATCH(E459,Referensi!$A$5:$A$60,0))=D459,"OK","Jenis tidak cocok"),"Kategori tidak dikenal"))</f>
        <v/>
      </c>
    </row>
    <row r="460" ht="15" customHeight="1" s="33">
      <c r="A460" s="57">
        <f>IF(B460="","",ROW()-4)</f>
        <v/>
      </c>
      <c r="B460" s="58" t="n"/>
      <c r="C460" s="38" t="n"/>
      <c r="D460" s="38" t="n"/>
      <c r="E460" s="38" t="n"/>
      <c r="F460" s="57">
        <f>IF(E460="","",IFERROR(INDEX(Referensi!$C$5:$C$60,MATCH(E460,Referensi!$A$5:$A$60,0)),"?"))</f>
        <v/>
      </c>
      <c r="G460" s="38" t="n"/>
      <c r="H460" s="59" t="n"/>
      <c r="I460" s="38" t="n"/>
      <c r="J460" s="39" t="n"/>
      <c r="K460" s="60">
        <f>IF(J460="","",SUMIFS(J$5:J460,D$5:D460,"Masuk")-SUMIFS(J$5:J460,D$5:D460,"Keluar"))</f>
        <v/>
      </c>
      <c r="L460" s="38" t="n"/>
      <c r="M460" s="38" t="n"/>
      <c r="N460" s="57">
        <f>IF(E460="","",IFERROR(IF(INDEX(Referensi!$B$5:$B$60,MATCH(E460,Referensi!$A$5:$A$60,0))=D460,"OK","Jenis tidak cocok"),"Kategori tidak dikenal"))</f>
        <v/>
      </c>
    </row>
    <row r="461" ht="15" customHeight="1" s="33">
      <c r="A461" s="57">
        <f>IF(B461="","",ROW()-4)</f>
        <v/>
      </c>
      <c r="B461" s="58" t="n"/>
      <c r="C461" s="38" t="n"/>
      <c r="D461" s="38" t="n"/>
      <c r="E461" s="38" t="n"/>
      <c r="F461" s="57">
        <f>IF(E461="","",IFERROR(INDEX(Referensi!$C$5:$C$60,MATCH(E461,Referensi!$A$5:$A$60,0)),"?"))</f>
        <v/>
      </c>
      <c r="G461" s="38" t="n"/>
      <c r="H461" s="59" t="n"/>
      <c r="I461" s="38" t="n"/>
      <c r="J461" s="39" t="n"/>
      <c r="K461" s="60">
        <f>IF(J461="","",SUMIFS(J$5:J461,D$5:D461,"Masuk")-SUMIFS(J$5:J461,D$5:D461,"Keluar"))</f>
        <v/>
      </c>
      <c r="L461" s="38" t="n"/>
      <c r="M461" s="38" t="n"/>
      <c r="N461" s="57">
        <f>IF(E461="","",IFERROR(IF(INDEX(Referensi!$B$5:$B$60,MATCH(E461,Referensi!$A$5:$A$60,0))=D461,"OK","Jenis tidak cocok"),"Kategori tidak dikenal"))</f>
        <v/>
      </c>
    </row>
    <row r="462" ht="15" customHeight="1" s="33">
      <c r="A462" s="57">
        <f>IF(B462="","",ROW()-4)</f>
        <v/>
      </c>
      <c r="B462" s="58" t="n"/>
      <c r="C462" s="38" t="n"/>
      <c r="D462" s="38" t="n"/>
      <c r="E462" s="38" t="n"/>
      <c r="F462" s="57">
        <f>IF(E462="","",IFERROR(INDEX(Referensi!$C$5:$C$60,MATCH(E462,Referensi!$A$5:$A$60,0)),"?"))</f>
        <v/>
      </c>
      <c r="G462" s="38" t="n"/>
      <c r="H462" s="59" t="n"/>
      <c r="I462" s="38" t="n"/>
      <c r="J462" s="39" t="n"/>
      <c r="K462" s="60">
        <f>IF(J462="","",SUMIFS(J$5:J462,D$5:D462,"Masuk")-SUMIFS(J$5:J462,D$5:D462,"Keluar"))</f>
        <v/>
      </c>
      <c r="L462" s="38" t="n"/>
      <c r="M462" s="38" t="n"/>
      <c r="N462" s="57">
        <f>IF(E462="","",IFERROR(IF(INDEX(Referensi!$B$5:$B$60,MATCH(E462,Referensi!$A$5:$A$60,0))=D462,"OK","Jenis tidak cocok"),"Kategori tidak dikenal"))</f>
        <v/>
      </c>
    </row>
    <row r="463" ht="15" customHeight="1" s="33">
      <c r="A463" s="57">
        <f>IF(B463="","",ROW()-4)</f>
        <v/>
      </c>
      <c r="B463" s="58" t="n"/>
      <c r="C463" s="38" t="n"/>
      <c r="D463" s="38" t="n"/>
      <c r="E463" s="38" t="n"/>
      <c r="F463" s="57">
        <f>IF(E463="","",IFERROR(INDEX(Referensi!$C$5:$C$60,MATCH(E463,Referensi!$A$5:$A$60,0)),"?"))</f>
        <v/>
      </c>
      <c r="G463" s="38" t="n"/>
      <c r="H463" s="59" t="n"/>
      <c r="I463" s="38" t="n"/>
      <c r="J463" s="39" t="n"/>
      <c r="K463" s="60">
        <f>IF(J463="","",SUMIFS(J$5:J463,D$5:D463,"Masuk")-SUMIFS(J$5:J463,D$5:D463,"Keluar"))</f>
        <v/>
      </c>
      <c r="L463" s="38" t="n"/>
      <c r="M463" s="38" t="n"/>
      <c r="N463" s="57">
        <f>IF(E463="","",IFERROR(IF(INDEX(Referensi!$B$5:$B$60,MATCH(E463,Referensi!$A$5:$A$60,0))=D463,"OK","Jenis tidak cocok"),"Kategori tidak dikenal"))</f>
        <v/>
      </c>
    </row>
    <row r="464" ht="15" customHeight="1" s="33">
      <c r="A464" s="57">
        <f>IF(B464="","",ROW()-4)</f>
        <v/>
      </c>
      <c r="B464" s="58" t="n"/>
      <c r="C464" s="38" t="n"/>
      <c r="D464" s="38" t="n"/>
      <c r="E464" s="38" t="n"/>
      <c r="F464" s="57">
        <f>IF(E464="","",IFERROR(INDEX(Referensi!$C$5:$C$60,MATCH(E464,Referensi!$A$5:$A$60,0)),"?"))</f>
        <v/>
      </c>
      <c r="G464" s="38" t="n"/>
      <c r="H464" s="59" t="n"/>
      <c r="I464" s="38" t="n"/>
      <c r="J464" s="39" t="n"/>
      <c r="K464" s="60">
        <f>IF(J464="","",SUMIFS(J$5:J464,D$5:D464,"Masuk")-SUMIFS(J$5:J464,D$5:D464,"Keluar"))</f>
        <v/>
      </c>
      <c r="L464" s="38" t="n"/>
      <c r="M464" s="38" t="n"/>
      <c r="N464" s="57">
        <f>IF(E464="","",IFERROR(IF(INDEX(Referensi!$B$5:$B$60,MATCH(E464,Referensi!$A$5:$A$60,0))=D464,"OK","Jenis tidak cocok"),"Kategori tidak dikenal"))</f>
        <v/>
      </c>
    </row>
    <row r="465" ht="15" customHeight="1" s="33">
      <c r="A465" s="57">
        <f>IF(B465="","",ROW()-4)</f>
        <v/>
      </c>
      <c r="B465" s="58" t="n"/>
      <c r="C465" s="38" t="n"/>
      <c r="D465" s="38" t="n"/>
      <c r="E465" s="38" t="n"/>
      <c r="F465" s="57">
        <f>IF(E465="","",IFERROR(INDEX(Referensi!$C$5:$C$60,MATCH(E465,Referensi!$A$5:$A$60,0)),"?"))</f>
        <v/>
      </c>
      <c r="G465" s="38" t="n"/>
      <c r="H465" s="59" t="n"/>
      <c r="I465" s="38" t="n"/>
      <c r="J465" s="39" t="n"/>
      <c r="K465" s="60">
        <f>IF(J465="","",SUMIFS(J$5:J465,D$5:D465,"Masuk")-SUMIFS(J$5:J465,D$5:D465,"Keluar"))</f>
        <v/>
      </c>
      <c r="L465" s="38" t="n"/>
      <c r="M465" s="38" t="n"/>
      <c r="N465" s="57">
        <f>IF(E465="","",IFERROR(IF(INDEX(Referensi!$B$5:$B$60,MATCH(E465,Referensi!$A$5:$A$60,0))=D465,"OK","Jenis tidak cocok"),"Kategori tidak dikenal"))</f>
        <v/>
      </c>
    </row>
    <row r="466" ht="15" customHeight="1" s="33">
      <c r="A466" s="57">
        <f>IF(B466="","",ROW()-4)</f>
        <v/>
      </c>
      <c r="B466" s="58" t="n"/>
      <c r="C466" s="38" t="n"/>
      <c r="D466" s="38" t="n"/>
      <c r="E466" s="38" t="n"/>
      <c r="F466" s="57">
        <f>IF(E466="","",IFERROR(INDEX(Referensi!$C$5:$C$60,MATCH(E466,Referensi!$A$5:$A$60,0)),"?"))</f>
        <v/>
      </c>
      <c r="G466" s="38" t="n"/>
      <c r="H466" s="59" t="n"/>
      <c r="I466" s="38" t="n"/>
      <c r="J466" s="39" t="n"/>
      <c r="K466" s="60">
        <f>IF(J466="","",SUMIFS(J$5:J466,D$5:D466,"Masuk")-SUMIFS(J$5:J466,D$5:D466,"Keluar"))</f>
        <v/>
      </c>
      <c r="L466" s="38" t="n"/>
      <c r="M466" s="38" t="n"/>
      <c r="N466" s="57">
        <f>IF(E466="","",IFERROR(IF(INDEX(Referensi!$B$5:$B$60,MATCH(E466,Referensi!$A$5:$A$60,0))=D466,"OK","Jenis tidak cocok"),"Kategori tidak dikenal"))</f>
        <v/>
      </c>
    </row>
    <row r="467" ht="15" customHeight="1" s="33">
      <c r="A467" s="57">
        <f>IF(B467="","",ROW()-4)</f>
        <v/>
      </c>
      <c r="B467" s="58" t="n"/>
      <c r="C467" s="38" t="n"/>
      <c r="D467" s="38" t="n"/>
      <c r="E467" s="38" t="n"/>
      <c r="F467" s="57">
        <f>IF(E467="","",IFERROR(INDEX(Referensi!$C$5:$C$60,MATCH(E467,Referensi!$A$5:$A$60,0)),"?"))</f>
        <v/>
      </c>
      <c r="G467" s="38" t="n"/>
      <c r="H467" s="59" t="n"/>
      <c r="I467" s="38" t="n"/>
      <c r="J467" s="39" t="n"/>
      <c r="K467" s="60">
        <f>IF(J467="","",SUMIFS(J$5:J467,D$5:D467,"Masuk")-SUMIFS(J$5:J467,D$5:D467,"Keluar"))</f>
        <v/>
      </c>
      <c r="L467" s="38" t="n"/>
      <c r="M467" s="38" t="n"/>
      <c r="N467" s="57">
        <f>IF(E467="","",IFERROR(IF(INDEX(Referensi!$B$5:$B$60,MATCH(E467,Referensi!$A$5:$A$60,0))=D467,"OK","Jenis tidak cocok"),"Kategori tidak dikenal"))</f>
        <v/>
      </c>
    </row>
    <row r="468" ht="15" customHeight="1" s="33">
      <c r="A468" s="57">
        <f>IF(B468="","",ROW()-4)</f>
        <v/>
      </c>
      <c r="B468" s="58" t="n"/>
      <c r="C468" s="38" t="n"/>
      <c r="D468" s="38" t="n"/>
      <c r="E468" s="38" t="n"/>
      <c r="F468" s="57">
        <f>IF(E468="","",IFERROR(INDEX(Referensi!$C$5:$C$60,MATCH(E468,Referensi!$A$5:$A$60,0)),"?"))</f>
        <v/>
      </c>
      <c r="G468" s="38" t="n"/>
      <c r="H468" s="59" t="n"/>
      <c r="I468" s="38" t="n"/>
      <c r="J468" s="39" t="n"/>
      <c r="K468" s="60">
        <f>IF(J468="","",SUMIFS(J$5:J468,D$5:D468,"Masuk")-SUMIFS(J$5:J468,D$5:D468,"Keluar"))</f>
        <v/>
      </c>
      <c r="L468" s="38" t="n"/>
      <c r="M468" s="38" t="n"/>
      <c r="N468" s="57">
        <f>IF(E468="","",IFERROR(IF(INDEX(Referensi!$B$5:$B$60,MATCH(E468,Referensi!$A$5:$A$60,0))=D468,"OK","Jenis tidak cocok"),"Kategori tidak dikenal"))</f>
        <v/>
      </c>
    </row>
    <row r="469" ht="15" customHeight="1" s="33">
      <c r="A469" s="57">
        <f>IF(B469="","",ROW()-4)</f>
        <v/>
      </c>
      <c r="B469" s="58" t="n"/>
      <c r="C469" s="38" t="n"/>
      <c r="D469" s="38" t="n"/>
      <c r="E469" s="38" t="n"/>
      <c r="F469" s="57">
        <f>IF(E469="","",IFERROR(INDEX(Referensi!$C$5:$C$60,MATCH(E469,Referensi!$A$5:$A$60,0)),"?"))</f>
        <v/>
      </c>
      <c r="G469" s="38" t="n"/>
      <c r="H469" s="59" t="n"/>
      <c r="I469" s="38" t="n"/>
      <c r="J469" s="39" t="n"/>
      <c r="K469" s="60">
        <f>IF(J469="","",SUMIFS(J$5:J469,D$5:D469,"Masuk")-SUMIFS(J$5:J469,D$5:D469,"Keluar"))</f>
        <v/>
      </c>
      <c r="L469" s="38" t="n"/>
      <c r="M469" s="38" t="n"/>
      <c r="N469" s="57">
        <f>IF(E469="","",IFERROR(IF(INDEX(Referensi!$B$5:$B$60,MATCH(E469,Referensi!$A$5:$A$60,0))=D469,"OK","Jenis tidak cocok"),"Kategori tidak dikenal"))</f>
        <v/>
      </c>
    </row>
    <row r="470" ht="15" customHeight="1" s="33">
      <c r="A470" s="57">
        <f>IF(B470="","",ROW()-4)</f>
        <v/>
      </c>
      <c r="B470" s="58" t="n"/>
      <c r="C470" s="38" t="n"/>
      <c r="D470" s="38" t="n"/>
      <c r="E470" s="38" t="n"/>
      <c r="F470" s="57">
        <f>IF(E470="","",IFERROR(INDEX(Referensi!$C$5:$C$60,MATCH(E470,Referensi!$A$5:$A$60,0)),"?"))</f>
        <v/>
      </c>
      <c r="G470" s="38" t="n"/>
      <c r="H470" s="59" t="n"/>
      <c r="I470" s="38" t="n"/>
      <c r="J470" s="39" t="n"/>
      <c r="K470" s="60">
        <f>IF(J470="","",SUMIFS(J$5:J470,D$5:D470,"Masuk")-SUMIFS(J$5:J470,D$5:D470,"Keluar"))</f>
        <v/>
      </c>
      <c r="L470" s="38" t="n"/>
      <c r="M470" s="38" t="n"/>
      <c r="N470" s="57">
        <f>IF(E470="","",IFERROR(IF(INDEX(Referensi!$B$5:$B$60,MATCH(E470,Referensi!$A$5:$A$60,0))=D470,"OK","Jenis tidak cocok"),"Kategori tidak dikenal"))</f>
        <v/>
      </c>
    </row>
    <row r="471" ht="15" customHeight="1" s="33">
      <c r="A471" s="57">
        <f>IF(B471="","",ROW()-4)</f>
        <v/>
      </c>
      <c r="B471" s="58" t="n"/>
      <c r="C471" s="38" t="n"/>
      <c r="D471" s="38" t="n"/>
      <c r="E471" s="38" t="n"/>
      <c r="F471" s="57">
        <f>IF(E471="","",IFERROR(INDEX(Referensi!$C$5:$C$60,MATCH(E471,Referensi!$A$5:$A$60,0)),"?"))</f>
        <v/>
      </c>
      <c r="G471" s="38" t="n"/>
      <c r="H471" s="59" t="n"/>
      <c r="I471" s="38" t="n"/>
      <c r="J471" s="39" t="n"/>
      <c r="K471" s="60">
        <f>IF(J471="","",SUMIFS(J$5:J471,D$5:D471,"Masuk")-SUMIFS(J$5:J471,D$5:D471,"Keluar"))</f>
        <v/>
      </c>
      <c r="L471" s="38" t="n"/>
      <c r="M471" s="38" t="n"/>
      <c r="N471" s="57">
        <f>IF(E471="","",IFERROR(IF(INDEX(Referensi!$B$5:$B$60,MATCH(E471,Referensi!$A$5:$A$60,0))=D471,"OK","Jenis tidak cocok"),"Kategori tidak dikenal"))</f>
        <v/>
      </c>
    </row>
    <row r="472" ht="15" customHeight="1" s="33">
      <c r="A472" s="57">
        <f>IF(B472="","",ROW()-4)</f>
        <v/>
      </c>
      <c r="B472" s="58" t="n"/>
      <c r="C472" s="38" t="n"/>
      <c r="D472" s="38" t="n"/>
      <c r="E472" s="38" t="n"/>
      <c r="F472" s="57">
        <f>IF(E472="","",IFERROR(INDEX(Referensi!$C$5:$C$60,MATCH(E472,Referensi!$A$5:$A$60,0)),"?"))</f>
        <v/>
      </c>
      <c r="G472" s="38" t="n"/>
      <c r="H472" s="59" t="n"/>
      <c r="I472" s="38" t="n"/>
      <c r="J472" s="39" t="n"/>
      <c r="K472" s="60">
        <f>IF(J472="","",SUMIFS(J$5:J472,D$5:D472,"Masuk")-SUMIFS(J$5:J472,D$5:D472,"Keluar"))</f>
        <v/>
      </c>
      <c r="L472" s="38" t="n"/>
      <c r="M472" s="38" t="n"/>
      <c r="N472" s="57">
        <f>IF(E472="","",IFERROR(IF(INDEX(Referensi!$B$5:$B$60,MATCH(E472,Referensi!$A$5:$A$60,0))=D472,"OK","Jenis tidak cocok"),"Kategori tidak dikenal"))</f>
        <v/>
      </c>
    </row>
    <row r="473" ht="15" customHeight="1" s="33">
      <c r="A473" s="57">
        <f>IF(B473="","",ROW()-4)</f>
        <v/>
      </c>
      <c r="B473" s="58" t="n"/>
      <c r="C473" s="38" t="n"/>
      <c r="D473" s="38" t="n"/>
      <c r="E473" s="38" t="n"/>
      <c r="F473" s="57">
        <f>IF(E473="","",IFERROR(INDEX(Referensi!$C$5:$C$60,MATCH(E473,Referensi!$A$5:$A$60,0)),"?"))</f>
        <v/>
      </c>
      <c r="G473" s="38" t="n"/>
      <c r="H473" s="59" t="n"/>
      <c r="I473" s="38" t="n"/>
      <c r="J473" s="39" t="n"/>
      <c r="K473" s="60">
        <f>IF(J473="","",SUMIFS(J$5:J473,D$5:D473,"Masuk")-SUMIFS(J$5:J473,D$5:D473,"Keluar"))</f>
        <v/>
      </c>
      <c r="L473" s="38" t="n"/>
      <c r="M473" s="38" t="n"/>
      <c r="N473" s="57">
        <f>IF(E473="","",IFERROR(IF(INDEX(Referensi!$B$5:$B$60,MATCH(E473,Referensi!$A$5:$A$60,0))=D473,"OK","Jenis tidak cocok"),"Kategori tidak dikenal"))</f>
        <v/>
      </c>
    </row>
    <row r="474" ht="15" customHeight="1" s="33">
      <c r="A474" s="57">
        <f>IF(B474="","",ROW()-4)</f>
        <v/>
      </c>
      <c r="B474" s="58" t="n"/>
      <c r="C474" s="38" t="n"/>
      <c r="D474" s="38" t="n"/>
      <c r="E474" s="38" t="n"/>
      <c r="F474" s="57">
        <f>IF(E474="","",IFERROR(INDEX(Referensi!$C$5:$C$60,MATCH(E474,Referensi!$A$5:$A$60,0)),"?"))</f>
        <v/>
      </c>
      <c r="G474" s="38" t="n"/>
      <c r="H474" s="59" t="n"/>
      <c r="I474" s="38" t="n"/>
      <c r="J474" s="39" t="n"/>
      <c r="K474" s="60">
        <f>IF(J474="","",SUMIFS(J$5:J474,D$5:D474,"Masuk")-SUMIFS(J$5:J474,D$5:D474,"Keluar"))</f>
        <v/>
      </c>
      <c r="L474" s="38" t="n"/>
      <c r="M474" s="38" t="n"/>
      <c r="N474" s="57">
        <f>IF(E474="","",IFERROR(IF(INDEX(Referensi!$B$5:$B$60,MATCH(E474,Referensi!$A$5:$A$60,0))=D474,"OK","Jenis tidak cocok"),"Kategori tidak dikenal"))</f>
        <v/>
      </c>
    </row>
    <row r="475" ht="15" customHeight="1" s="33">
      <c r="A475" s="57">
        <f>IF(B475="","",ROW()-4)</f>
        <v/>
      </c>
      <c r="B475" s="58" t="n"/>
      <c r="C475" s="38" t="n"/>
      <c r="D475" s="38" t="n"/>
      <c r="E475" s="38" t="n"/>
      <c r="F475" s="57">
        <f>IF(E475="","",IFERROR(INDEX(Referensi!$C$5:$C$60,MATCH(E475,Referensi!$A$5:$A$60,0)),"?"))</f>
        <v/>
      </c>
      <c r="G475" s="38" t="n"/>
      <c r="H475" s="59" t="n"/>
      <c r="I475" s="38" t="n"/>
      <c r="J475" s="39" t="n"/>
      <c r="K475" s="60">
        <f>IF(J475="","",SUMIFS(J$5:J475,D$5:D475,"Masuk")-SUMIFS(J$5:J475,D$5:D475,"Keluar"))</f>
        <v/>
      </c>
      <c r="L475" s="38" t="n"/>
      <c r="M475" s="38" t="n"/>
      <c r="N475" s="57">
        <f>IF(E475="","",IFERROR(IF(INDEX(Referensi!$B$5:$B$60,MATCH(E475,Referensi!$A$5:$A$60,0))=D475,"OK","Jenis tidak cocok"),"Kategori tidak dikenal"))</f>
        <v/>
      </c>
    </row>
    <row r="476" ht="15" customHeight="1" s="33">
      <c r="A476" s="57">
        <f>IF(B476="","",ROW()-4)</f>
        <v/>
      </c>
      <c r="B476" s="58" t="n"/>
      <c r="C476" s="38" t="n"/>
      <c r="D476" s="38" t="n"/>
      <c r="E476" s="38" t="n"/>
      <c r="F476" s="57">
        <f>IF(E476="","",IFERROR(INDEX(Referensi!$C$5:$C$60,MATCH(E476,Referensi!$A$5:$A$60,0)),"?"))</f>
        <v/>
      </c>
      <c r="G476" s="38" t="n"/>
      <c r="H476" s="59" t="n"/>
      <c r="I476" s="38" t="n"/>
      <c r="J476" s="39" t="n"/>
      <c r="K476" s="60">
        <f>IF(J476="","",SUMIFS(J$5:J476,D$5:D476,"Masuk")-SUMIFS(J$5:J476,D$5:D476,"Keluar"))</f>
        <v/>
      </c>
      <c r="L476" s="38" t="n"/>
      <c r="M476" s="38" t="n"/>
      <c r="N476" s="57">
        <f>IF(E476="","",IFERROR(IF(INDEX(Referensi!$B$5:$B$60,MATCH(E476,Referensi!$A$5:$A$60,0))=D476,"OK","Jenis tidak cocok"),"Kategori tidak dikenal"))</f>
        <v/>
      </c>
    </row>
    <row r="477" ht="15" customHeight="1" s="33">
      <c r="A477" s="57">
        <f>IF(B477="","",ROW()-4)</f>
        <v/>
      </c>
      <c r="B477" s="58" t="n"/>
      <c r="C477" s="38" t="n"/>
      <c r="D477" s="38" t="n"/>
      <c r="E477" s="38" t="n"/>
      <c r="F477" s="57">
        <f>IF(E477="","",IFERROR(INDEX(Referensi!$C$5:$C$60,MATCH(E477,Referensi!$A$5:$A$60,0)),"?"))</f>
        <v/>
      </c>
      <c r="G477" s="38" t="n"/>
      <c r="H477" s="59" t="n"/>
      <c r="I477" s="38" t="n"/>
      <c r="J477" s="39" t="n"/>
      <c r="K477" s="60">
        <f>IF(J477="","",SUMIFS(J$5:J477,D$5:D477,"Masuk")-SUMIFS(J$5:J477,D$5:D477,"Keluar"))</f>
        <v/>
      </c>
      <c r="L477" s="38" t="n"/>
      <c r="M477" s="38" t="n"/>
      <c r="N477" s="57">
        <f>IF(E477="","",IFERROR(IF(INDEX(Referensi!$B$5:$B$60,MATCH(E477,Referensi!$A$5:$A$60,0))=D477,"OK","Jenis tidak cocok"),"Kategori tidak dikenal"))</f>
        <v/>
      </c>
    </row>
    <row r="478" ht="15" customHeight="1" s="33">
      <c r="A478" s="57">
        <f>IF(B478="","",ROW()-4)</f>
        <v/>
      </c>
      <c r="B478" s="58" t="n"/>
      <c r="C478" s="38" t="n"/>
      <c r="D478" s="38" t="n"/>
      <c r="E478" s="38" t="n"/>
      <c r="F478" s="57">
        <f>IF(E478="","",IFERROR(INDEX(Referensi!$C$5:$C$60,MATCH(E478,Referensi!$A$5:$A$60,0)),"?"))</f>
        <v/>
      </c>
      <c r="G478" s="38" t="n"/>
      <c r="H478" s="59" t="n"/>
      <c r="I478" s="38" t="n"/>
      <c r="J478" s="39" t="n"/>
      <c r="K478" s="60">
        <f>IF(J478="","",SUMIFS(J$5:J478,D$5:D478,"Masuk")-SUMIFS(J$5:J478,D$5:D478,"Keluar"))</f>
        <v/>
      </c>
      <c r="L478" s="38" t="n"/>
      <c r="M478" s="38" t="n"/>
      <c r="N478" s="57">
        <f>IF(E478="","",IFERROR(IF(INDEX(Referensi!$B$5:$B$60,MATCH(E478,Referensi!$A$5:$A$60,0))=D478,"OK","Jenis tidak cocok"),"Kategori tidak dikenal"))</f>
        <v/>
      </c>
    </row>
    <row r="479" ht="15" customHeight="1" s="33">
      <c r="A479" s="57">
        <f>IF(B479="","",ROW()-4)</f>
        <v/>
      </c>
      <c r="B479" s="58" t="n"/>
      <c r="C479" s="38" t="n"/>
      <c r="D479" s="38" t="n"/>
      <c r="E479" s="38" t="n"/>
      <c r="F479" s="57">
        <f>IF(E479="","",IFERROR(INDEX(Referensi!$C$5:$C$60,MATCH(E479,Referensi!$A$5:$A$60,0)),"?"))</f>
        <v/>
      </c>
      <c r="G479" s="38" t="n"/>
      <c r="H479" s="59" t="n"/>
      <c r="I479" s="38" t="n"/>
      <c r="J479" s="39" t="n"/>
      <c r="K479" s="60">
        <f>IF(J479="","",SUMIFS(J$5:J479,D$5:D479,"Masuk")-SUMIFS(J$5:J479,D$5:D479,"Keluar"))</f>
        <v/>
      </c>
      <c r="L479" s="38" t="n"/>
      <c r="M479" s="38" t="n"/>
      <c r="N479" s="57">
        <f>IF(E479="","",IFERROR(IF(INDEX(Referensi!$B$5:$B$60,MATCH(E479,Referensi!$A$5:$A$60,0))=D479,"OK","Jenis tidak cocok"),"Kategori tidak dikenal"))</f>
        <v/>
      </c>
    </row>
    <row r="480" ht="15" customHeight="1" s="33">
      <c r="A480" s="57">
        <f>IF(B480="","",ROW()-4)</f>
        <v/>
      </c>
      <c r="B480" s="58" t="n"/>
      <c r="C480" s="38" t="n"/>
      <c r="D480" s="38" t="n"/>
      <c r="E480" s="38" t="n"/>
      <c r="F480" s="57">
        <f>IF(E480="","",IFERROR(INDEX(Referensi!$C$5:$C$60,MATCH(E480,Referensi!$A$5:$A$60,0)),"?"))</f>
        <v/>
      </c>
      <c r="G480" s="38" t="n"/>
      <c r="H480" s="59" t="n"/>
      <c r="I480" s="38" t="n"/>
      <c r="J480" s="39" t="n"/>
      <c r="K480" s="60">
        <f>IF(J480="","",SUMIFS(J$5:J480,D$5:D480,"Masuk")-SUMIFS(J$5:J480,D$5:D480,"Keluar"))</f>
        <v/>
      </c>
      <c r="L480" s="38" t="n"/>
      <c r="M480" s="38" t="n"/>
      <c r="N480" s="57">
        <f>IF(E480="","",IFERROR(IF(INDEX(Referensi!$B$5:$B$60,MATCH(E480,Referensi!$A$5:$A$60,0))=D480,"OK","Jenis tidak cocok"),"Kategori tidak dikenal"))</f>
        <v/>
      </c>
    </row>
    <row r="481" ht="15" customHeight="1" s="33">
      <c r="A481" s="57">
        <f>IF(B481="","",ROW()-4)</f>
        <v/>
      </c>
      <c r="B481" s="58" t="n"/>
      <c r="C481" s="38" t="n"/>
      <c r="D481" s="38" t="n"/>
      <c r="E481" s="38" t="n"/>
      <c r="F481" s="57">
        <f>IF(E481="","",IFERROR(INDEX(Referensi!$C$5:$C$60,MATCH(E481,Referensi!$A$5:$A$60,0)),"?"))</f>
        <v/>
      </c>
      <c r="G481" s="38" t="n"/>
      <c r="H481" s="59" t="n"/>
      <c r="I481" s="38" t="n"/>
      <c r="J481" s="39" t="n"/>
      <c r="K481" s="60">
        <f>IF(J481="","",SUMIFS(J$5:J481,D$5:D481,"Masuk")-SUMIFS(J$5:J481,D$5:D481,"Keluar"))</f>
        <v/>
      </c>
      <c r="L481" s="38" t="n"/>
      <c r="M481" s="38" t="n"/>
      <c r="N481" s="57">
        <f>IF(E481="","",IFERROR(IF(INDEX(Referensi!$B$5:$B$60,MATCH(E481,Referensi!$A$5:$A$60,0))=D481,"OK","Jenis tidak cocok"),"Kategori tidak dikenal"))</f>
        <v/>
      </c>
    </row>
    <row r="482" ht="15" customHeight="1" s="33">
      <c r="A482" s="57">
        <f>IF(B482="","",ROW()-4)</f>
        <v/>
      </c>
      <c r="B482" s="58" t="n"/>
      <c r="C482" s="38" t="n"/>
      <c r="D482" s="38" t="n"/>
      <c r="E482" s="38" t="n"/>
      <c r="F482" s="57">
        <f>IF(E482="","",IFERROR(INDEX(Referensi!$C$5:$C$60,MATCH(E482,Referensi!$A$5:$A$60,0)),"?"))</f>
        <v/>
      </c>
      <c r="G482" s="38" t="n"/>
      <c r="H482" s="59" t="n"/>
      <c r="I482" s="38" t="n"/>
      <c r="J482" s="39" t="n"/>
      <c r="K482" s="60">
        <f>IF(J482="","",SUMIFS(J$5:J482,D$5:D482,"Masuk")-SUMIFS(J$5:J482,D$5:D482,"Keluar"))</f>
        <v/>
      </c>
      <c r="L482" s="38" t="n"/>
      <c r="M482" s="38" t="n"/>
      <c r="N482" s="57">
        <f>IF(E482="","",IFERROR(IF(INDEX(Referensi!$B$5:$B$60,MATCH(E482,Referensi!$A$5:$A$60,0))=D482,"OK","Jenis tidak cocok"),"Kategori tidak dikenal"))</f>
        <v/>
      </c>
    </row>
    <row r="483" ht="15" customHeight="1" s="33">
      <c r="A483" s="57">
        <f>IF(B483="","",ROW()-4)</f>
        <v/>
      </c>
      <c r="B483" s="58" t="n"/>
      <c r="C483" s="38" t="n"/>
      <c r="D483" s="38" t="n"/>
      <c r="E483" s="38" t="n"/>
      <c r="F483" s="57">
        <f>IF(E483="","",IFERROR(INDEX(Referensi!$C$5:$C$60,MATCH(E483,Referensi!$A$5:$A$60,0)),"?"))</f>
        <v/>
      </c>
      <c r="G483" s="38" t="n"/>
      <c r="H483" s="59" t="n"/>
      <c r="I483" s="38" t="n"/>
      <c r="J483" s="39" t="n"/>
      <c r="K483" s="60">
        <f>IF(J483="","",SUMIFS(J$5:J483,D$5:D483,"Masuk")-SUMIFS(J$5:J483,D$5:D483,"Keluar"))</f>
        <v/>
      </c>
      <c r="L483" s="38" t="n"/>
      <c r="M483" s="38" t="n"/>
      <c r="N483" s="57">
        <f>IF(E483="","",IFERROR(IF(INDEX(Referensi!$B$5:$B$60,MATCH(E483,Referensi!$A$5:$A$60,0))=D483,"OK","Jenis tidak cocok"),"Kategori tidak dikenal"))</f>
        <v/>
      </c>
    </row>
    <row r="484" ht="15" customHeight="1" s="33">
      <c r="A484" s="57">
        <f>IF(B484="","",ROW()-4)</f>
        <v/>
      </c>
      <c r="B484" s="58" t="n"/>
      <c r="C484" s="38" t="n"/>
      <c r="D484" s="38" t="n"/>
      <c r="E484" s="38" t="n"/>
      <c r="F484" s="57">
        <f>IF(E484="","",IFERROR(INDEX(Referensi!$C$5:$C$60,MATCH(E484,Referensi!$A$5:$A$60,0)),"?"))</f>
        <v/>
      </c>
      <c r="G484" s="38" t="n"/>
      <c r="H484" s="59" t="n"/>
      <c r="I484" s="38" t="n"/>
      <c r="J484" s="39" t="n"/>
      <c r="K484" s="60">
        <f>IF(J484="","",SUMIFS(J$5:J484,D$5:D484,"Masuk")-SUMIFS(J$5:J484,D$5:D484,"Keluar"))</f>
        <v/>
      </c>
      <c r="L484" s="38" t="n"/>
      <c r="M484" s="38" t="n"/>
      <c r="N484" s="57">
        <f>IF(E484="","",IFERROR(IF(INDEX(Referensi!$B$5:$B$60,MATCH(E484,Referensi!$A$5:$A$60,0))=D484,"OK","Jenis tidak cocok"),"Kategori tidak dikenal"))</f>
        <v/>
      </c>
    </row>
    <row r="485" ht="15" customHeight="1" s="33">
      <c r="A485" s="57">
        <f>IF(B485="","",ROW()-4)</f>
        <v/>
      </c>
      <c r="B485" s="58" t="n"/>
      <c r="C485" s="38" t="n"/>
      <c r="D485" s="38" t="n"/>
      <c r="E485" s="38" t="n"/>
      <c r="F485" s="57">
        <f>IF(E485="","",IFERROR(INDEX(Referensi!$C$5:$C$60,MATCH(E485,Referensi!$A$5:$A$60,0)),"?"))</f>
        <v/>
      </c>
      <c r="G485" s="38" t="n"/>
      <c r="H485" s="59" t="n"/>
      <c r="I485" s="38" t="n"/>
      <c r="J485" s="39" t="n"/>
      <c r="K485" s="60">
        <f>IF(J485="","",SUMIFS(J$5:J485,D$5:D485,"Masuk")-SUMIFS(J$5:J485,D$5:D485,"Keluar"))</f>
        <v/>
      </c>
      <c r="L485" s="38" t="n"/>
      <c r="M485" s="38" t="n"/>
      <c r="N485" s="57">
        <f>IF(E485="","",IFERROR(IF(INDEX(Referensi!$B$5:$B$60,MATCH(E485,Referensi!$A$5:$A$60,0))=D485,"OK","Jenis tidak cocok"),"Kategori tidak dikenal"))</f>
        <v/>
      </c>
    </row>
    <row r="486" ht="15" customHeight="1" s="33">
      <c r="A486" s="57">
        <f>IF(B486="","",ROW()-4)</f>
        <v/>
      </c>
      <c r="B486" s="58" t="n"/>
      <c r="C486" s="38" t="n"/>
      <c r="D486" s="38" t="n"/>
      <c r="E486" s="38" t="n"/>
      <c r="F486" s="57">
        <f>IF(E486="","",IFERROR(INDEX(Referensi!$C$5:$C$60,MATCH(E486,Referensi!$A$5:$A$60,0)),"?"))</f>
        <v/>
      </c>
      <c r="G486" s="38" t="n"/>
      <c r="H486" s="59" t="n"/>
      <c r="I486" s="38" t="n"/>
      <c r="J486" s="39" t="n"/>
      <c r="K486" s="60">
        <f>IF(J486="","",SUMIFS(J$5:J486,D$5:D486,"Masuk")-SUMIFS(J$5:J486,D$5:D486,"Keluar"))</f>
        <v/>
      </c>
      <c r="L486" s="38" t="n"/>
      <c r="M486" s="38" t="n"/>
      <c r="N486" s="57">
        <f>IF(E486="","",IFERROR(IF(INDEX(Referensi!$B$5:$B$60,MATCH(E486,Referensi!$A$5:$A$60,0))=D486,"OK","Jenis tidak cocok"),"Kategori tidak dikenal"))</f>
        <v/>
      </c>
    </row>
    <row r="487" ht="15" customHeight="1" s="33">
      <c r="A487" s="57">
        <f>IF(B487="","",ROW()-4)</f>
        <v/>
      </c>
      <c r="B487" s="58" t="n"/>
      <c r="C487" s="38" t="n"/>
      <c r="D487" s="38" t="n"/>
      <c r="E487" s="38" t="n"/>
      <c r="F487" s="57">
        <f>IF(E487="","",IFERROR(INDEX(Referensi!$C$5:$C$60,MATCH(E487,Referensi!$A$5:$A$60,0)),"?"))</f>
        <v/>
      </c>
      <c r="G487" s="38" t="n"/>
      <c r="H487" s="59" t="n"/>
      <c r="I487" s="38" t="n"/>
      <c r="J487" s="39" t="n"/>
      <c r="K487" s="60">
        <f>IF(J487="","",SUMIFS(J$5:J487,D$5:D487,"Masuk")-SUMIFS(J$5:J487,D$5:D487,"Keluar"))</f>
        <v/>
      </c>
      <c r="L487" s="38" t="n"/>
      <c r="M487" s="38" t="n"/>
      <c r="N487" s="57">
        <f>IF(E487="","",IFERROR(IF(INDEX(Referensi!$B$5:$B$60,MATCH(E487,Referensi!$A$5:$A$60,0))=D487,"OK","Jenis tidak cocok"),"Kategori tidak dikenal"))</f>
        <v/>
      </c>
    </row>
    <row r="488" ht="15" customHeight="1" s="33">
      <c r="A488" s="57">
        <f>IF(B488="","",ROW()-4)</f>
        <v/>
      </c>
      <c r="B488" s="58" t="n"/>
      <c r="C488" s="38" t="n"/>
      <c r="D488" s="38" t="n"/>
      <c r="E488" s="38" t="n"/>
      <c r="F488" s="57">
        <f>IF(E488="","",IFERROR(INDEX(Referensi!$C$5:$C$60,MATCH(E488,Referensi!$A$5:$A$60,0)),"?"))</f>
        <v/>
      </c>
      <c r="G488" s="38" t="n"/>
      <c r="H488" s="59" t="n"/>
      <c r="I488" s="38" t="n"/>
      <c r="J488" s="39" t="n"/>
      <c r="K488" s="60">
        <f>IF(J488="","",SUMIFS(J$5:J488,D$5:D488,"Masuk")-SUMIFS(J$5:J488,D$5:D488,"Keluar"))</f>
        <v/>
      </c>
      <c r="L488" s="38" t="n"/>
      <c r="M488" s="38" t="n"/>
      <c r="N488" s="57">
        <f>IF(E488="","",IFERROR(IF(INDEX(Referensi!$B$5:$B$60,MATCH(E488,Referensi!$A$5:$A$60,0))=D488,"OK","Jenis tidak cocok"),"Kategori tidak dikenal"))</f>
        <v/>
      </c>
    </row>
    <row r="489" ht="15" customHeight="1" s="33">
      <c r="A489" s="57">
        <f>IF(B489="","",ROW()-4)</f>
        <v/>
      </c>
      <c r="B489" s="58" t="n"/>
      <c r="C489" s="38" t="n"/>
      <c r="D489" s="38" t="n"/>
      <c r="E489" s="38" t="n"/>
      <c r="F489" s="57">
        <f>IF(E489="","",IFERROR(INDEX(Referensi!$C$5:$C$60,MATCH(E489,Referensi!$A$5:$A$60,0)),"?"))</f>
        <v/>
      </c>
      <c r="G489" s="38" t="n"/>
      <c r="H489" s="59" t="n"/>
      <c r="I489" s="38" t="n"/>
      <c r="J489" s="39" t="n"/>
      <c r="K489" s="60">
        <f>IF(J489="","",SUMIFS(J$5:J489,D$5:D489,"Masuk")-SUMIFS(J$5:J489,D$5:D489,"Keluar"))</f>
        <v/>
      </c>
      <c r="L489" s="38" t="n"/>
      <c r="M489" s="38" t="n"/>
      <c r="N489" s="57">
        <f>IF(E489="","",IFERROR(IF(INDEX(Referensi!$B$5:$B$60,MATCH(E489,Referensi!$A$5:$A$60,0))=D489,"OK","Jenis tidak cocok"),"Kategori tidak dikenal"))</f>
        <v/>
      </c>
    </row>
    <row r="490" ht="15" customHeight="1" s="33">
      <c r="A490" s="57">
        <f>IF(B490="","",ROW()-4)</f>
        <v/>
      </c>
      <c r="B490" s="58" t="n"/>
      <c r="C490" s="38" t="n"/>
      <c r="D490" s="38" t="n"/>
      <c r="E490" s="38" t="n"/>
      <c r="F490" s="57">
        <f>IF(E490="","",IFERROR(INDEX(Referensi!$C$5:$C$60,MATCH(E490,Referensi!$A$5:$A$60,0)),"?"))</f>
        <v/>
      </c>
      <c r="G490" s="38" t="n"/>
      <c r="H490" s="59" t="n"/>
      <c r="I490" s="38" t="n"/>
      <c r="J490" s="39" t="n"/>
      <c r="K490" s="60">
        <f>IF(J490="","",SUMIFS(J$5:J490,D$5:D490,"Masuk")-SUMIFS(J$5:J490,D$5:D490,"Keluar"))</f>
        <v/>
      </c>
      <c r="L490" s="38" t="n"/>
      <c r="M490" s="38" t="n"/>
      <c r="N490" s="57">
        <f>IF(E490="","",IFERROR(IF(INDEX(Referensi!$B$5:$B$60,MATCH(E490,Referensi!$A$5:$A$60,0))=D490,"OK","Jenis tidak cocok"),"Kategori tidak dikenal"))</f>
        <v/>
      </c>
    </row>
    <row r="491" ht="15" customHeight="1" s="33">
      <c r="A491" s="57">
        <f>IF(B491="","",ROW()-4)</f>
        <v/>
      </c>
      <c r="B491" s="58" t="n"/>
      <c r="C491" s="38" t="n"/>
      <c r="D491" s="38" t="n"/>
      <c r="E491" s="38" t="n"/>
      <c r="F491" s="57">
        <f>IF(E491="","",IFERROR(INDEX(Referensi!$C$5:$C$60,MATCH(E491,Referensi!$A$5:$A$60,0)),"?"))</f>
        <v/>
      </c>
      <c r="G491" s="38" t="n"/>
      <c r="H491" s="59" t="n"/>
      <c r="I491" s="38" t="n"/>
      <c r="J491" s="39" t="n"/>
      <c r="K491" s="60">
        <f>IF(J491="","",SUMIFS(J$5:J491,D$5:D491,"Masuk")-SUMIFS(J$5:J491,D$5:D491,"Keluar"))</f>
        <v/>
      </c>
      <c r="L491" s="38" t="n"/>
      <c r="M491" s="38" t="n"/>
      <c r="N491" s="57">
        <f>IF(E491="","",IFERROR(IF(INDEX(Referensi!$B$5:$B$60,MATCH(E491,Referensi!$A$5:$A$60,0))=D491,"OK","Jenis tidak cocok"),"Kategori tidak dikenal"))</f>
        <v/>
      </c>
    </row>
    <row r="492" ht="15" customHeight="1" s="33">
      <c r="A492" s="57">
        <f>IF(B492="","",ROW()-4)</f>
        <v/>
      </c>
      <c r="B492" s="58" t="n"/>
      <c r="C492" s="38" t="n"/>
      <c r="D492" s="38" t="n"/>
      <c r="E492" s="38" t="n"/>
      <c r="F492" s="57">
        <f>IF(E492="","",IFERROR(INDEX(Referensi!$C$5:$C$60,MATCH(E492,Referensi!$A$5:$A$60,0)),"?"))</f>
        <v/>
      </c>
      <c r="G492" s="38" t="n"/>
      <c r="H492" s="59" t="n"/>
      <c r="I492" s="38" t="n"/>
      <c r="J492" s="39" t="n"/>
      <c r="K492" s="60">
        <f>IF(J492="","",SUMIFS(J$5:J492,D$5:D492,"Masuk")-SUMIFS(J$5:J492,D$5:D492,"Keluar"))</f>
        <v/>
      </c>
      <c r="L492" s="38" t="n"/>
      <c r="M492" s="38" t="n"/>
      <c r="N492" s="57">
        <f>IF(E492="","",IFERROR(IF(INDEX(Referensi!$B$5:$B$60,MATCH(E492,Referensi!$A$5:$A$60,0))=D492,"OK","Jenis tidak cocok"),"Kategori tidak dikenal"))</f>
        <v/>
      </c>
    </row>
    <row r="493" ht="15" customHeight="1" s="33">
      <c r="A493" s="57">
        <f>IF(B493="","",ROW()-4)</f>
        <v/>
      </c>
      <c r="B493" s="58" t="n"/>
      <c r="C493" s="38" t="n"/>
      <c r="D493" s="38" t="n"/>
      <c r="E493" s="38" t="n"/>
      <c r="F493" s="57">
        <f>IF(E493="","",IFERROR(INDEX(Referensi!$C$5:$C$60,MATCH(E493,Referensi!$A$5:$A$60,0)),"?"))</f>
        <v/>
      </c>
      <c r="G493" s="38" t="n"/>
      <c r="H493" s="59" t="n"/>
      <c r="I493" s="38" t="n"/>
      <c r="J493" s="39" t="n"/>
      <c r="K493" s="60">
        <f>IF(J493="","",SUMIFS(J$5:J493,D$5:D493,"Masuk")-SUMIFS(J$5:J493,D$5:D493,"Keluar"))</f>
        <v/>
      </c>
      <c r="L493" s="38" t="n"/>
      <c r="M493" s="38" t="n"/>
      <c r="N493" s="57">
        <f>IF(E493="","",IFERROR(IF(INDEX(Referensi!$B$5:$B$60,MATCH(E493,Referensi!$A$5:$A$60,0))=D493,"OK","Jenis tidak cocok"),"Kategori tidak dikenal"))</f>
        <v/>
      </c>
    </row>
    <row r="494" ht="15" customHeight="1" s="33">
      <c r="A494" s="57">
        <f>IF(B494="","",ROW()-4)</f>
        <v/>
      </c>
      <c r="B494" s="58" t="n"/>
      <c r="C494" s="38" t="n"/>
      <c r="D494" s="38" t="n"/>
      <c r="E494" s="38" t="n"/>
      <c r="F494" s="57">
        <f>IF(E494="","",IFERROR(INDEX(Referensi!$C$5:$C$60,MATCH(E494,Referensi!$A$5:$A$60,0)),"?"))</f>
        <v/>
      </c>
      <c r="G494" s="38" t="n"/>
      <c r="H494" s="59" t="n"/>
      <c r="I494" s="38" t="n"/>
      <c r="J494" s="39" t="n"/>
      <c r="K494" s="60">
        <f>IF(J494="","",SUMIFS(J$5:J494,D$5:D494,"Masuk")-SUMIFS(J$5:J494,D$5:D494,"Keluar"))</f>
        <v/>
      </c>
      <c r="L494" s="38" t="n"/>
      <c r="M494" s="38" t="n"/>
      <c r="N494" s="57">
        <f>IF(E494="","",IFERROR(IF(INDEX(Referensi!$B$5:$B$60,MATCH(E494,Referensi!$A$5:$A$60,0))=D494,"OK","Jenis tidak cocok"),"Kategori tidak dikenal"))</f>
        <v/>
      </c>
    </row>
    <row r="495" ht="15" customHeight="1" s="33">
      <c r="A495" s="57">
        <f>IF(B495="","",ROW()-4)</f>
        <v/>
      </c>
      <c r="B495" s="58" t="n"/>
      <c r="C495" s="38" t="n"/>
      <c r="D495" s="38" t="n"/>
      <c r="E495" s="38" t="n"/>
      <c r="F495" s="57">
        <f>IF(E495="","",IFERROR(INDEX(Referensi!$C$5:$C$60,MATCH(E495,Referensi!$A$5:$A$60,0)),"?"))</f>
        <v/>
      </c>
      <c r="G495" s="38" t="n"/>
      <c r="H495" s="59" t="n"/>
      <c r="I495" s="38" t="n"/>
      <c r="J495" s="39" t="n"/>
      <c r="K495" s="60">
        <f>IF(J495="","",SUMIFS(J$5:J495,D$5:D495,"Masuk")-SUMIFS(J$5:J495,D$5:D495,"Keluar"))</f>
        <v/>
      </c>
      <c r="L495" s="38" t="n"/>
      <c r="M495" s="38" t="n"/>
      <c r="N495" s="57">
        <f>IF(E495="","",IFERROR(IF(INDEX(Referensi!$B$5:$B$60,MATCH(E495,Referensi!$A$5:$A$60,0))=D495,"OK","Jenis tidak cocok"),"Kategori tidak dikenal"))</f>
        <v/>
      </c>
    </row>
    <row r="496" ht="15" customHeight="1" s="33">
      <c r="A496" s="57">
        <f>IF(B496="","",ROW()-4)</f>
        <v/>
      </c>
      <c r="B496" s="58" t="n"/>
      <c r="C496" s="38" t="n"/>
      <c r="D496" s="38" t="n"/>
      <c r="E496" s="38" t="n"/>
      <c r="F496" s="57">
        <f>IF(E496="","",IFERROR(INDEX(Referensi!$C$5:$C$60,MATCH(E496,Referensi!$A$5:$A$60,0)),"?"))</f>
        <v/>
      </c>
      <c r="G496" s="38" t="n"/>
      <c r="H496" s="59" t="n"/>
      <c r="I496" s="38" t="n"/>
      <c r="J496" s="39" t="n"/>
      <c r="K496" s="60">
        <f>IF(J496="","",SUMIFS(J$5:J496,D$5:D496,"Masuk")-SUMIFS(J$5:J496,D$5:D496,"Keluar"))</f>
        <v/>
      </c>
      <c r="L496" s="38" t="n"/>
      <c r="M496" s="38" t="n"/>
      <c r="N496" s="57">
        <f>IF(E496="","",IFERROR(IF(INDEX(Referensi!$B$5:$B$60,MATCH(E496,Referensi!$A$5:$A$60,0))=D496,"OK","Jenis tidak cocok"),"Kategori tidak dikenal"))</f>
        <v/>
      </c>
    </row>
    <row r="497" ht="15" customHeight="1" s="33">
      <c r="A497" s="57">
        <f>IF(B497="","",ROW()-4)</f>
        <v/>
      </c>
      <c r="B497" s="58" t="n"/>
      <c r="C497" s="38" t="n"/>
      <c r="D497" s="38" t="n"/>
      <c r="E497" s="38" t="n"/>
      <c r="F497" s="57">
        <f>IF(E497="","",IFERROR(INDEX(Referensi!$C$5:$C$60,MATCH(E497,Referensi!$A$5:$A$60,0)),"?"))</f>
        <v/>
      </c>
      <c r="G497" s="38" t="n"/>
      <c r="H497" s="59" t="n"/>
      <c r="I497" s="38" t="n"/>
      <c r="J497" s="39" t="n"/>
      <c r="K497" s="60">
        <f>IF(J497="","",SUMIFS(J$5:J497,D$5:D497,"Masuk")-SUMIFS(J$5:J497,D$5:D497,"Keluar"))</f>
        <v/>
      </c>
      <c r="L497" s="38" t="n"/>
      <c r="M497" s="38" t="n"/>
      <c r="N497" s="57">
        <f>IF(E497="","",IFERROR(IF(INDEX(Referensi!$B$5:$B$60,MATCH(E497,Referensi!$A$5:$A$60,0))=D497,"OK","Jenis tidak cocok"),"Kategori tidak dikenal"))</f>
        <v/>
      </c>
    </row>
    <row r="498" ht="15" customHeight="1" s="33">
      <c r="A498" s="57">
        <f>IF(B498="","",ROW()-4)</f>
        <v/>
      </c>
      <c r="B498" s="58" t="n"/>
      <c r="C498" s="38" t="n"/>
      <c r="D498" s="38" t="n"/>
      <c r="E498" s="38" t="n"/>
      <c r="F498" s="57">
        <f>IF(E498="","",IFERROR(INDEX(Referensi!$C$5:$C$60,MATCH(E498,Referensi!$A$5:$A$60,0)),"?"))</f>
        <v/>
      </c>
      <c r="G498" s="38" t="n"/>
      <c r="H498" s="59" t="n"/>
      <c r="I498" s="38" t="n"/>
      <c r="J498" s="39" t="n"/>
      <c r="K498" s="60">
        <f>IF(J498="","",SUMIFS(J$5:J498,D$5:D498,"Masuk")-SUMIFS(J$5:J498,D$5:D498,"Keluar"))</f>
        <v/>
      </c>
      <c r="L498" s="38" t="n"/>
      <c r="M498" s="38" t="n"/>
      <c r="N498" s="57">
        <f>IF(E498="","",IFERROR(IF(INDEX(Referensi!$B$5:$B$60,MATCH(E498,Referensi!$A$5:$A$60,0))=D498,"OK","Jenis tidak cocok"),"Kategori tidak dikenal"))</f>
        <v/>
      </c>
    </row>
    <row r="499" ht="15" customHeight="1" s="33">
      <c r="A499" s="57">
        <f>IF(B499="","",ROW()-4)</f>
        <v/>
      </c>
      <c r="B499" s="58" t="n"/>
      <c r="C499" s="38" t="n"/>
      <c r="D499" s="38" t="n"/>
      <c r="E499" s="38" t="n"/>
      <c r="F499" s="57">
        <f>IF(E499="","",IFERROR(INDEX(Referensi!$C$5:$C$60,MATCH(E499,Referensi!$A$5:$A$60,0)),"?"))</f>
        <v/>
      </c>
      <c r="G499" s="38" t="n"/>
      <c r="H499" s="59" t="n"/>
      <c r="I499" s="38" t="n"/>
      <c r="J499" s="39" t="n"/>
      <c r="K499" s="60">
        <f>IF(J499="","",SUMIFS(J$5:J499,D$5:D499,"Masuk")-SUMIFS(J$5:J499,D$5:D499,"Keluar"))</f>
        <v/>
      </c>
      <c r="L499" s="38" t="n"/>
      <c r="M499" s="38" t="n"/>
      <c r="N499" s="57">
        <f>IF(E499="","",IFERROR(IF(INDEX(Referensi!$B$5:$B$60,MATCH(E499,Referensi!$A$5:$A$60,0))=D499,"OK","Jenis tidak cocok"),"Kategori tidak dikenal"))</f>
        <v/>
      </c>
    </row>
    <row r="500" ht="15" customHeight="1" s="33">
      <c r="A500" s="57">
        <f>IF(B500="","",ROW()-4)</f>
        <v/>
      </c>
      <c r="B500" s="58" t="n"/>
      <c r="C500" s="38" t="n"/>
      <c r="D500" s="38" t="n"/>
      <c r="E500" s="38" t="n"/>
      <c r="F500" s="57">
        <f>IF(E500="","",IFERROR(INDEX(Referensi!$C$5:$C$60,MATCH(E500,Referensi!$A$5:$A$60,0)),"?"))</f>
        <v/>
      </c>
      <c r="G500" s="38" t="n"/>
      <c r="H500" s="59" t="n"/>
      <c r="I500" s="38" t="n"/>
      <c r="J500" s="39" t="n"/>
      <c r="K500" s="60">
        <f>IF(J500="","",SUMIFS(J$5:J500,D$5:D500,"Masuk")-SUMIFS(J$5:J500,D$5:D500,"Keluar"))</f>
        <v/>
      </c>
      <c r="L500" s="38" t="n"/>
      <c r="M500" s="38" t="n"/>
      <c r="N500" s="57">
        <f>IF(E500="","",IFERROR(IF(INDEX(Referensi!$B$5:$B$60,MATCH(E500,Referensi!$A$5:$A$60,0))=D500,"OK","Jenis tidak cocok"),"Kategori tidak dikenal"))</f>
        <v/>
      </c>
    </row>
    <row r="501" ht="15" customHeight="1" s="33">
      <c r="A501" s="57">
        <f>IF(B501="","",ROW()-4)</f>
        <v/>
      </c>
      <c r="B501" s="58" t="n"/>
      <c r="C501" s="38" t="n"/>
      <c r="D501" s="38" t="n"/>
      <c r="E501" s="38" t="n"/>
      <c r="F501" s="57">
        <f>IF(E501="","",IFERROR(INDEX(Referensi!$C$5:$C$60,MATCH(E501,Referensi!$A$5:$A$60,0)),"?"))</f>
        <v/>
      </c>
      <c r="G501" s="38" t="n"/>
      <c r="H501" s="59" t="n"/>
      <c r="I501" s="38" t="n"/>
      <c r="J501" s="39" t="n"/>
      <c r="K501" s="60">
        <f>IF(J501="","",SUMIFS(J$5:J501,D$5:D501,"Masuk")-SUMIFS(J$5:J501,D$5:D501,"Keluar"))</f>
        <v/>
      </c>
      <c r="L501" s="38" t="n"/>
      <c r="M501" s="38" t="n"/>
      <c r="N501" s="57">
        <f>IF(E501="","",IFERROR(IF(INDEX(Referensi!$B$5:$B$60,MATCH(E501,Referensi!$A$5:$A$60,0))=D501,"OK","Jenis tidak cocok"),"Kategori tidak dikenal"))</f>
        <v/>
      </c>
    </row>
    <row r="502" ht="15" customHeight="1" s="33">
      <c r="A502" s="57">
        <f>IF(B502="","",ROW()-4)</f>
        <v/>
      </c>
      <c r="B502" s="58" t="n"/>
      <c r="C502" s="38" t="n"/>
      <c r="D502" s="38" t="n"/>
      <c r="E502" s="38" t="n"/>
      <c r="F502" s="57">
        <f>IF(E502="","",IFERROR(INDEX(Referensi!$C$5:$C$60,MATCH(E502,Referensi!$A$5:$A$60,0)),"?"))</f>
        <v/>
      </c>
      <c r="G502" s="38" t="n"/>
      <c r="H502" s="59" t="n"/>
      <c r="I502" s="38" t="n"/>
      <c r="J502" s="39" t="n"/>
      <c r="K502" s="60">
        <f>IF(J502="","",SUMIFS(J$5:J502,D$5:D502,"Masuk")-SUMIFS(J$5:J502,D$5:D502,"Keluar"))</f>
        <v/>
      </c>
      <c r="L502" s="38" t="n"/>
      <c r="M502" s="38" t="n"/>
      <c r="N502" s="57">
        <f>IF(E502="","",IFERROR(IF(INDEX(Referensi!$B$5:$B$60,MATCH(E502,Referensi!$A$5:$A$60,0))=D502,"OK","Jenis tidak cocok"),"Kategori tidak dikenal"))</f>
        <v/>
      </c>
    </row>
    <row r="503" ht="15" customHeight="1" s="33">
      <c r="A503" s="57">
        <f>IF(B503="","",ROW()-4)</f>
        <v/>
      </c>
      <c r="B503" s="58" t="n"/>
      <c r="C503" s="38" t="n"/>
      <c r="D503" s="38" t="n"/>
      <c r="E503" s="38" t="n"/>
      <c r="F503" s="57">
        <f>IF(E503="","",IFERROR(INDEX(Referensi!$C$5:$C$60,MATCH(E503,Referensi!$A$5:$A$60,0)),"?"))</f>
        <v/>
      </c>
      <c r="G503" s="38" t="n"/>
      <c r="H503" s="59" t="n"/>
      <c r="I503" s="38" t="n"/>
      <c r="J503" s="39" t="n"/>
      <c r="K503" s="60">
        <f>IF(J503="","",SUMIFS(J$5:J503,D$5:D503,"Masuk")-SUMIFS(J$5:J503,D$5:D503,"Keluar"))</f>
        <v/>
      </c>
      <c r="L503" s="38" t="n"/>
      <c r="M503" s="38" t="n"/>
      <c r="N503" s="57">
        <f>IF(E503="","",IFERROR(IF(INDEX(Referensi!$B$5:$B$60,MATCH(E503,Referensi!$A$5:$A$60,0))=D503,"OK","Jenis tidak cocok"),"Kategori tidak dikenal"))</f>
        <v/>
      </c>
    </row>
    <row r="504" ht="15" customHeight="1" s="33">
      <c r="A504" s="57">
        <f>IF(B504="","",ROW()-4)</f>
        <v/>
      </c>
      <c r="B504" s="58" t="n"/>
      <c r="C504" s="38" t="n"/>
      <c r="D504" s="38" t="n"/>
      <c r="E504" s="38" t="n"/>
      <c r="F504" s="57">
        <f>IF(E504="","",IFERROR(INDEX(Referensi!$C$5:$C$60,MATCH(E504,Referensi!$A$5:$A$60,0)),"?"))</f>
        <v/>
      </c>
      <c r="G504" s="38" t="n"/>
      <c r="H504" s="59" t="n"/>
      <c r="I504" s="38" t="n"/>
      <c r="J504" s="39" t="n"/>
      <c r="K504" s="60">
        <f>IF(J504="","",SUMIFS(J$5:J504,D$5:D504,"Masuk")-SUMIFS(J$5:J504,D$5:D504,"Keluar"))</f>
        <v/>
      </c>
      <c r="L504" s="38" t="n"/>
      <c r="M504" s="38" t="n"/>
      <c r="N504" s="57">
        <f>IF(E504="","",IFERROR(IF(INDEX(Referensi!$B$5:$B$60,MATCH(E504,Referensi!$A$5:$A$60,0))=D504,"OK","Jenis tidak cocok"),"Kategori tidak dikenal"))</f>
        <v/>
      </c>
    </row>
    <row r="505" ht="15" customHeight="1" s="33">
      <c r="A505" s="57">
        <f>IF(B505="","",ROW()-4)</f>
        <v/>
      </c>
      <c r="B505" s="58" t="n"/>
      <c r="C505" s="38" t="n"/>
      <c r="D505" s="38" t="n"/>
      <c r="E505" s="38" t="n"/>
      <c r="F505" s="57">
        <f>IF(E505="","",IFERROR(INDEX(Referensi!$C$5:$C$60,MATCH(E505,Referensi!$A$5:$A$60,0)),"?"))</f>
        <v/>
      </c>
      <c r="G505" s="38" t="n"/>
      <c r="H505" s="59" t="n"/>
      <c r="I505" s="38" t="n"/>
      <c r="J505" s="39" t="n"/>
      <c r="K505" s="60">
        <f>IF(J505="","",SUMIFS(J$5:J505,D$5:D505,"Masuk")-SUMIFS(J$5:J505,D$5:D505,"Keluar"))</f>
        <v/>
      </c>
      <c r="L505" s="38" t="n"/>
      <c r="M505" s="38" t="n"/>
      <c r="N505" s="57">
        <f>IF(E505="","",IFERROR(IF(INDEX(Referensi!$B$5:$B$60,MATCH(E505,Referensi!$A$5:$A$60,0))=D505,"OK","Jenis tidak cocok"),"Kategori tidak dikenal"))</f>
        <v/>
      </c>
    </row>
    <row r="506" ht="15" customHeight="1" s="33">
      <c r="A506" s="57">
        <f>IF(B506="","",ROW()-4)</f>
        <v/>
      </c>
      <c r="B506" s="58" t="n"/>
      <c r="C506" s="38" t="n"/>
      <c r="D506" s="38" t="n"/>
      <c r="E506" s="38" t="n"/>
      <c r="F506" s="57">
        <f>IF(E506="","",IFERROR(INDEX(Referensi!$C$5:$C$60,MATCH(E506,Referensi!$A$5:$A$60,0)),"?"))</f>
        <v/>
      </c>
      <c r="G506" s="38" t="n"/>
      <c r="H506" s="59" t="n"/>
      <c r="I506" s="38" t="n"/>
      <c r="J506" s="39" t="n"/>
      <c r="K506" s="60">
        <f>IF(J506="","",SUMIFS(J$5:J506,D$5:D506,"Masuk")-SUMIFS(J$5:J506,D$5:D506,"Keluar"))</f>
        <v/>
      </c>
      <c r="L506" s="38" t="n"/>
      <c r="M506" s="38" t="n"/>
      <c r="N506" s="57">
        <f>IF(E506="","",IFERROR(IF(INDEX(Referensi!$B$5:$B$60,MATCH(E506,Referensi!$A$5:$A$60,0))=D506,"OK","Jenis tidak cocok"),"Kategori tidak dikenal"))</f>
        <v/>
      </c>
    </row>
    <row r="507" ht="15" customHeight="1" s="33">
      <c r="A507" s="57">
        <f>IF(B507="","",ROW()-4)</f>
        <v/>
      </c>
      <c r="B507" s="58" t="n"/>
      <c r="C507" s="38" t="n"/>
      <c r="D507" s="38" t="n"/>
      <c r="E507" s="38" t="n"/>
      <c r="F507" s="57">
        <f>IF(E507="","",IFERROR(INDEX(Referensi!$C$5:$C$60,MATCH(E507,Referensi!$A$5:$A$60,0)),"?"))</f>
        <v/>
      </c>
      <c r="G507" s="38" t="n"/>
      <c r="H507" s="59" t="n"/>
      <c r="I507" s="38" t="n"/>
      <c r="J507" s="39" t="n"/>
      <c r="K507" s="60">
        <f>IF(J507="","",SUMIFS(J$5:J507,D$5:D507,"Masuk")-SUMIFS(J$5:J507,D$5:D507,"Keluar"))</f>
        <v/>
      </c>
      <c r="L507" s="38" t="n"/>
      <c r="M507" s="38" t="n"/>
      <c r="N507" s="57">
        <f>IF(E507="","",IFERROR(IF(INDEX(Referensi!$B$5:$B$60,MATCH(E507,Referensi!$A$5:$A$60,0))=D507,"OK","Jenis tidak cocok"),"Kategori tidak dikenal"))</f>
        <v/>
      </c>
    </row>
    <row r="508" ht="15" customHeight="1" s="33">
      <c r="A508" s="57">
        <f>IF(B508="","",ROW()-4)</f>
        <v/>
      </c>
      <c r="B508" s="58" t="n"/>
      <c r="C508" s="38" t="n"/>
      <c r="D508" s="38" t="n"/>
      <c r="E508" s="38" t="n"/>
      <c r="F508" s="57">
        <f>IF(E508="","",IFERROR(INDEX(Referensi!$C$5:$C$60,MATCH(E508,Referensi!$A$5:$A$60,0)),"?"))</f>
        <v/>
      </c>
      <c r="G508" s="38" t="n"/>
      <c r="H508" s="59" t="n"/>
      <c r="I508" s="38" t="n"/>
      <c r="J508" s="39" t="n"/>
      <c r="K508" s="60">
        <f>IF(J508="","",SUMIFS(J$5:J508,D$5:D508,"Masuk")-SUMIFS(J$5:J508,D$5:D508,"Keluar"))</f>
        <v/>
      </c>
      <c r="L508" s="38" t="n"/>
      <c r="M508" s="38" t="n"/>
      <c r="N508" s="57">
        <f>IF(E508="","",IFERROR(IF(INDEX(Referensi!$B$5:$B$60,MATCH(E508,Referensi!$A$5:$A$60,0))=D508,"OK","Jenis tidak cocok"),"Kategori tidak dikenal"))</f>
        <v/>
      </c>
    </row>
    <row r="509" ht="15" customHeight="1" s="33">
      <c r="A509" s="57">
        <f>IF(B509="","",ROW()-4)</f>
        <v/>
      </c>
      <c r="B509" s="58" t="n"/>
      <c r="C509" s="38" t="n"/>
      <c r="D509" s="38" t="n"/>
      <c r="E509" s="38" t="n"/>
      <c r="F509" s="57">
        <f>IF(E509="","",IFERROR(INDEX(Referensi!$C$5:$C$60,MATCH(E509,Referensi!$A$5:$A$60,0)),"?"))</f>
        <v/>
      </c>
      <c r="G509" s="38" t="n"/>
      <c r="H509" s="59" t="n"/>
      <c r="I509" s="38" t="n"/>
      <c r="J509" s="39" t="n"/>
      <c r="K509" s="60">
        <f>IF(J509="","",SUMIFS(J$5:J509,D$5:D509,"Masuk")-SUMIFS(J$5:J509,D$5:D509,"Keluar"))</f>
        <v/>
      </c>
      <c r="L509" s="38" t="n"/>
      <c r="M509" s="38" t="n"/>
      <c r="N509" s="57">
        <f>IF(E509="","",IFERROR(IF(INDEX(Referensi!$B$5:$B$60,MATCH(E509,Referensi!$A$5:$A$60,0))=D509,"OK","Jenis tidak cocok"),"Kategori tidak dikenal"))</f>
        <v/>
      </c>
    </row>
    <row r="510" ht="15" customHeight="1" s="33">
      <c r="A510" s="57">
        <f>IF(B510="","",ROW()-4)</f>
        <v/>
      </c>
      <c r="B510" s="58" t="n"/>
      <c r="C510" s="38" t="n"/>
      <c r="D510" s="38" t="n"/>
      <c r="E510" s="38" t="n"/>
      <c r="F510" s="57">
        <f>IF(E510="","",IFERROR(INDEX(Referensi!$C$5:$C$60,MATCH(E510,Referensi!$A$5:$A$60,0)),"?"))</f>
        <v/>
      </c>
      <c r="G510" s="38" t="n"/>
      <c r="H510" s="59" t="n"/>
      <c r="I510" s="38" t="n"/>
      <c r="J510" s="39" t="n"/>
      <c r="K510" s="60">
        <f>IF(J510="","",SUMIFS(J$5:J510,D$5:D510,"Masuk")-SUMIFS(J$5:J510,D$5:D510,"Keluar"))</f>
        <v/>
      </c>
      <c r="L510" s="38" t="n"/>
      <c r="M510" s="38" t="n"/>
      <c r="N510" s="57">
        <f>IF(E510="","",IFERROR(IF(INDEX(Referensi!$B$5:$B$60,MATCH(E510,Referensi!$A$5:$A$60,0))=D510,"OK","Jenis tidak cocok"),"Kategori tidak dikenal"))</f>
        <v/>
      </c>
    </row>
    <row r="511" ht="15" customHeight="1" s="33">
      <c r="A511" s="57">
        <f>IF(B511="","",ROW()-4)</f>
        <v/>
      </c>
      <c r="B511" s="58" t="n"/>
      <c r="C511" s="38" t="n"/>
      <c r="D511" s="38" t="n"/>
      <c r="E511" s="38" t="n"/>
      <c r="F511" s="57">
        <f>IF(E511="","",IFERROR(INDEX(Referensi!$C$5:$C$60,MATCH(E511,Referensi!$A$5:$A$60,0)),"?"))</f>
        <v/>
      </c>
      <c r="G511" s="38" t="n"/>
      <c r="H511" s="59" t="n"/>
      <c r="I511" s="38" t="n"/>
      <c r="J511" s="39" t="n"/>
      <c r="K511" s="60">
        <f>IF(J511="","",SUMIFS(J$5:J511,D$5:D511,"Masuk")-SUMIFS(J$5:J511,D$5:D511,"Keluar"))</f>
        <v/>
      </c>
      <c r="L511" s="38" t="n"/>
      <c r="M511" s="38" t="n"/>
      <c r="N511" s="57">
        <f>IF(E511="","",IFERROR(IF(INDEX(Referensi!$B$5:$B$60,MATCH(E511,Referensi!$A$5:$A$60,0))=D511,"OK","Jenis tidak cocok"),"Kategori tidak dikenal"))</f>
        <v/>
      </c>
    </row>
    <row r="512" ht="15" customHeight="1" s="33">
      <c r="A512" s="57">
        <f>IF(B512="","",ROW()-4)</f>
        <v/>
      </c>
      <c r="B512" s="58" t="n"/>
      <c r="C512" s="38" t="n"/>
      <c r="D512" s="38" t="n"/>
      <c r="E512" s="38" t="n"/>
      <c r="F512" s="57">
        <f>IF(E512="","",IFERROR(INDEX(Referensi!$C$5:$C$60,MATCH(E512,Referensi!$A$5:$A$60,0)),"?"))</f>
        <v/>
      </c>
      <c r="G512" s="38" t="n"/>
      <c r="H512" s="59" t="n"/>
      <c r="I512" s="38" t="n"/>
      <c r="J512" s="39" t="n"/>
      <c r="K512" s="60">
        <f>IF(J512="","",SUMIFS(J$5:J512,D$5:D512,"Masuk")-SUMIFS(J$5:J512,D$5:D512,"Keluar"))</f>
        <v/>
      </c>
      <c r="L512" s="38" t="n"/>
      <c r="M512" s="38" t="n"/>
      <c r="N512" s="57">
        <f>IF(E512="","",IFERROR(IF(INDEX(Referensi!$B$5:$B$60,MATCH(E512,Referensi!$A$5:$A$60,0))=D512,"OK","Jenis tidak cocok"),"Kategori tidak dikenal"))</f>
        <v/>
      </c>
    </row>
    <row r="513" ht="15" customHeight="1" s="33">
      <c r="A513" s="57">
        <f>IF(B513="","",ROW()-4)</f>
        <v/>
      </c>
      <c r="B513" s="58" t="n"/>
      <c r="C513" s="38" t="n"/>
      <c r="D513" s="38" t="n"/>
      <c r="E513" s="38" t="n"/>
      <c r="F513" s="57">
        <f>IF(E513="","",IFERROR(INDEX(Referensi!$C$5:$C$60,MATCH(E513,Referensi!$A$5:$A$60,0)),"?"))</f>
        <v/>
      </c>
      <c r="G513" s="38" t="n"/>
      <c r="H513" s="59" t="n"/>
      <c r="I513" s="38" t="n"/>
      <c r="J513" s="39" t="n"/>
      <c r="K513" s="60">
        <f>IF(J513="","",SUMIFS(J$5:J513,D$5:D513,"Masuk")-SUMIFS(J$5:J513,D$5:D513,"Keluar"))</f>
        <v/>
      </c>
      <c r="L513" s="38" t="n"/>
      <c r="M513" s="38" t="n"/>
      <c r="N513" s="57">
        <f>IF(E513="","",IFERROR(IF(INDEX(Referensi!$B$5:$B$60,MATCH(E513,Referensi!$A$5:$A$60,0))=D513,"OK","Jenis tidak cocok"),"Kategori tidak dikenal"))</f>
        <v/>
      </c>
    </row>
    <row r="514" ht="15" customHeight="1" s="33">
      <c r="A514" s="57">
        <f>IF(B514="","",ROW()-4)</f>
        <v/>
      </c>
      <c r="B514" s="58" t="n"/>
      <c r="C514" s="38" t="n"/>
      <c r="D514" s="38" t="n"/>
      <c r="E514" s="38" t="n"/>
      <c r="F514" s="57">
        <f>IF(E514="","",IFERROR(INDEX(Referensi!$C$5:$C$60,MATCH(E514,Referensi!$A$5:$A$60,0)),"?"))</f>
        <v/>
      </c>
      <c r="G514" s="38" t="n"/>
      <c r="H514" s="59" t="n"/>
      <c r="I514" s="38" t="n"/>
      <c r="J514" s="39" t="n"/>
      <c r="K514" s="60">
        <f>IF(J514="","",SUMIFS(J$5:J514,D$5:D514,"Masuk")-SUMIFS(J$5:J514,D$5:D514,"Keluar"))</f>
        <v/>
      </c>
      <c r="L514" s="38" t="n"/>
      <c r="M514" s="38" t="n"/>
      <c r="N514" s="57">
        <f>IF(E514="","",IFERROR(IF(INDEX(Referensi!$B$5:$B$60,MATCH(E514,Referensi!$A$5:$A$60,0))=D514,"OK","Jenis tidak cocok"),"Kategori tidak dikenal"))</f>
        <v/>
      </c>
    </row>
    <row r="515" ht="15" customHeight="1" s="33">
      <c r="A515" s="57">
        <f>IF(B515="","",ROW()-4)</f>
        <v/>
      </c>
      <c r="B515" s="58" t="n"/>
      <c r="C515" s="38" t="n"/>
      <c r="D515" s="38" t="n"/>
      <c r="E515" s="38" t="n"/>
      <c r="F515" s="57">
        <f>IF(E515="","",IFERROR(INDEX(Referensi!$C$5:$C$60,MATCH(E515,Referensi!$A$5:$A$60,0)),"?"))</f>
        <v/>
      </c>
      <c r="G515" s="38" t="n"/>
      <c r="H515" s="59" t="n"/>
      <c r="I515" s="38" t="n"/>
      <c r="J515" s="39" t="n"/>
      <c r="K515" s="60">
        <f>IF(J515="","",SUMIFS(J$5:J515,D$5:D515,"Masuk")-SUMIFS(J$5:J515,D$5:D515,"Keluar"))</f>
        <v/>
      </c>
      <c r="L515" s="38" t="n"/>
      <c r="M515" s="38" t="n"/>
      <c r="N515" s="57">
        <f>IF(E515="","",IFERROR(IF(INDEX(Referensi!$B$5:$B$60,MATCH(E515,Referensi!$A$5:$A$60,0))=D515,"OK","Jenis tidak cocok"),"Kategori tidak dikenal"))</f>
        <v/>
      </c>
    </row>
    <row r="516" ht="15" customHeight="1" s="33">
      <c r="A516" s="57">
        <f>IF(B516="","",ROW()-4)</f>
        <v/>
      </c>
      <c r="B516" s="58" t="n"/>
      <c r="C516" s="38" t="n"/>
      <c r="D516" s="38" t="n"/>
      <c r="E516" s="38" t="n"/>
      <c r="F516" s="57">
        <f>IF(E516="","",IFERROR(INDEX(Referensi!$C$5:$C$60,MATCH(E516,Referensi!$A$5:$A$60,0)),"?"))</f>
        <v/>
      </c>
      <c r="G516" s="38" t="n"/>
      <c r="H516" s="59" t="n"/>
      <c r="I516" s="38" t="n"/>
      <c r="J516" s="39" t="n"/>
      <c r="K516" s="60">
        <f>IF(J516="","",SUMIFS(J$5:J516,D$5:D516,"Masuk")-SUMIFS(J$5:J516,D$5:D516,"Keluar"))</f>
        <v/>
      </c>
      <c r="L516" s="38" t="n"/>
      <c r="M516" s="38" t="n"/>
      <c r="N516" s="57">
        <f>IF(E516="","",IFERROR(IF(INDEX(Referensi!$B$5:$B$60,MATCH(E516,Referensi!$A$5:$A$60,0))=D516,"OK","Jenis tidak cocok"),"Kategori tidak dikenal"))</f>
        <v/>
      </c>
    </row>
    <row r="517" ht="15" customHeight="1" s="33">
      <c r="A517" s="57">
        <f>IF(B517="","",ROW()-4)</f>
        <v/>
      </c>
      <c r="B517" s="58" t="n"/>
      <c r="C517" s="38" t="n"/>
      <c r="D517" s="38" t="n"/>
      <c r="E517" s="38" t="n"/>
      <c r="F517" s="57">
        <f>IF(E517="","",IFERROR(INDEX(Referensi!$C$5:$C$60,MATCH(E517,Referensi!$A$5:$A$60,0)),"?"))</f>
        <v/>
      </c>
      <c r="G517" s="38" t="n"/>
      <c r="H517" s="59" t="n"/>
      <c r="I517" s="38" t="n"/>
      <c r="J517" s="39" t="n"/>
      <c r="K517" s="60">
        <f>IF(J517="","",SUMIFS(J$5:J517,D$5:D517,"Masuk")-SUMIFS(J$5:J517,D$5:D517,"Keluar"))</f>
        <v/>
      </c>
      <c r="L517" s="38" t="n"/>
      <c r="M517" s="38" t="n"/>
      <c r="N517" s="57">
        <f>IF(E517="","",IFERROR(IF(INDEX(Referensi!$B$5:$B$60,MATCH(E517,Referensi!$A$5:$A$60,0))=D517,"OK","Jenis tidak cocok"),"Kategori tidak dikenal"))</f>
        <v/>
      </c>
    </row>
    <row r="518" ht="15" customHeight="1" s="33">
      <c r="A518" s="57">
        <f>IF(B518="","",ROW()-4)</f>
        <v/>
      </c>
      <c r="B518" s="58" t="n"/>
      <c r="C518" s="38" t="n"/>
      <c r="D518" s="38" t="n"/>
      <c r="E518" s="38" t="n"/>
      <c r="F518" s="57">
        <f>IF(E518="","",IFERROR(INDEX(Referensi!$C$5:$C$60,MATCH(E518,Referensi!$A$5:$A$60,0)),"?"))</f>
        <v/>
      </c>
      <c r="G518" s="38" t="n"/>
      <c r="H518" s="59" t="n"/>
      <c r="I518" s="38" t="n"/>
      <c r="J518" s="39" t="n"/>
      <c r="K518" s="60">
        <f>IF(J518="","",SUMIFS(J$5:J518,D$5:D518,"Masuk")-SUMIFS(J$5:J518,D$5:D518,"Keluar"))</f>
        <v/>
      </c>
      <c r="L518" s="38" t="n"/>
      <c r="M518" s="38" t="n"/>
      <c r="N518" s="57">
        <f>IF(E518="","",IFERROR(IF(INDEX(Referensi!$B$5:$B$60,MATCH(E518,Referensi!$A$5:$A$60,0))=D518,"OK","Jenis tidak cocok"),"Kategori tidak dikenal"))</f>
        <v/>
      </c>
    </row>
    <row r="519" ht="15" customHeight="1" s="33">
      <c r="A519" s="57">
        <f>IF(B519="","",ROW()-4)</f>
        <v/>
      </c>
      <c r="B519" s="58" t="n"/>
      <c r="C519" s="38" t="n"/>
      <c r="D519" s="38" t="n"/>
      <c r="E519" s="38" t="n"/>
      <c r="F519" s="57">
        <f>IF(E519="","",IFERROR(INDEX(Referensi!$C$5:$C$60,MATCH(E519,Referensi!$A$5:$A$60,0)),"?"))</f>
        <v/>
      </c>
      <c r="G519" s="38" t="n"/>
      <c r="H519" s="59" t="n"/>
      <c r="I519" s="38" t="n"/>
      <c r="J519" s="39" t="n"/>
      <c r="K519" s="60">
        <f>IF(J519="","",SUMIFS(J$5:J519,D$5:D519,"Masuk")-SUMIFS(J$5:J519,D$5:D519,"Keluar"))</f>
        <v/>
      </c>
      <c r="L519" s="38" t="n"/>
      <c r="M519" s="38" t="n"/>
      <c r="N519" s="57">
        <f>IF(E519="","",IFERROR(IF(INDEX(Referensi!$B$5:$B$60,MATCH(E519,Referensi!$A$5:$A$60,0))=D519,"OK","Jenis tidak cocok"),"Kategori tidak dikenal"))</f>
        <v/>
      </c>
    </row>
    <row r="520" ht="15" customHeight="1" s="33">
      <c r="A520" s="57">
        <f>IF(B520="","",ROW()-4)</f>
        <v/>
      </c>
      <c r="B520" s="58" t="n"/>
      <c r="C520" s="38" t="n"/>
      <c r="D520" s="38" t="n"/>
      <c r="E520" s="38" t="n"/>
      <c r="F520" s="57">
        <f>IF(E520="","",IFERROR(INDEX(Referensi!$C$5:$C$60,MATCH(E520,Referensi!$A$5:$A$60,0)),"?"))</f>
        <v/>
      </c>
      <c r="G520" s="38" t="n"/>
      <c r="H520" s="59" t="n"/>
      <c r="I520" s="38" t="n"/>
      <c r="J520" s="39" t="n"/>
      <c r="K520" s="60">
        <f>IF(J520="","",SUMIFS(J$5:J520,D$5:D520,"Masuk")-SUMIFS(J$5:J520,D$5:D520,"Keluar"))</f>
        <v/>
      </c>
      <c r="L520" s="38" t="n"/>
      <c r="M520" s="38" t="n"/>
      <c r="N520" s="57">
        <f>IF(E520="","",IFERROR(IF(INDEX(Referensi!$B$5:$B$60,MATCH(E520,Referensi!$A$5:$A$60,0))=D520,"OK","Jenis tidak cocok"),"Kategori tidak dikenal"))</f>
        <v/>
      </c>
    </row>
    <row r="521" ht="15" customHeight="1" s="33">
      <c r="A521" s="57">
        <f>IF(B521="","",ROW()-4)</f>
        <v/>
      </c>
      <c r="B521" s="58" t="n"/>
      <c r="C521" s="38" t="n"/>
      <c r="D521" s="38" t="n"/>
      <c r="E521" s="38" t="n"/>
      <c r="F521" s="57">
        <f>IF(E521="","",IFERROR(INDEX(Referensi!$C$5:$C$60,MATCH(E521,Referensi!$A$5:$A$60,0)),"?"))</f>
        <v/>
      </c>
      <c r="G521" s="38" t="n"/>
      <c r="H521" s="59" t="n"/>
      <c r="I521" s="38" t="n"/>
      <c r="J521" s="39" t="n"/>
      <c r="K521" s="60">
        <f>IF(J521="","",SUMIFS(J$5:J521,D$5:D521,"Masuk")-SUMIFS(J$5:J521,D$5:D521,"Keluar"))</f>
        <v/>
      </c>
      <c r="L521" s="38" t="n"/>
      <c r="M521" s="38" t="n"/>
      <c r="N521" s="57">
        <f>IF(E521="","",IFERROR(IF(INDEX(Referensi!$B$5:$B$60,MATCH(E521,Referensi!$A$5:$A$60,0))=D521,"OK","Jenis tidak cocok"),"Kategori tidak dikenal"))</f>
        <v/>
      </c>
    </row>
    <row r="522" ht="15" customHeight="1" s="33">
      <c r="A522" s="57">
        <f>IF(B522="","",ROW()-4)</f>
        <v/>
      </c>
      <c r="B522" s="58" t="n"/>
      <c r="C522" s="38" t="n"/>
      <c r="D522" s="38" t="n"/>
      <c r="E522" s="38" t="n"/>
      <c r="F522" s="57">
        <f>IF(E522="","",IFERROR(INDEX(Referensi!$C$5:$C$60,MATCH(E522,Referensi!$A$5:$A$60,0)),"?"))</f>
        <v/>
      </c>
      <c r="G522" s="38" t="n"/>
      <c r="H522" s="59" t="n"/>
      <c r="I522" s="38" t="n"/>
      <c r="J522" s="39" t="n"/>
      <c r="K522" s="60">
        <f>IF(J522="","",SUMIFS(J$5:J522,D$5:D522,"Masuk")-SUMIFS(J$5:J522,D$5:D522,"Keluar"))</f>
        <v/>
      </c>
      <c r="L522" s="38" t="n"/>
      <c r="M522" s="38" t="n"/>
      <c r="N522" s="57">
        <f>IF(E522="","",IFERROR(IF(INDEX(Referensi!$B$5:$B$60,MATCH(E522,Referensi!$A$5:$A$60,0))=D522,"OK","Jenis tidak cocok"),"Kategori tidak dikenal"))</f>
        <v/>
      </c>
    </row>
    <row r="523" ht="15" customHeight="1" s="33">
      <c r="A523" s="57">
        <f>IF(B523="","",ROW()-4)</f>
        <v/>
      </c>
      <c r="B523" s="58" t="n"/>
      <c r="C523" s="38" t="n"/>
      <c r="D523" s="38" t="n"/>
      <c r="E523" s="38" t="n"/>
      <c r="F523" s="57">
        <f>IF(E523="","",IFERROR(INDEX(Referensi!$C$5:$C$60,MATCH(E523,Referensi!$A$5:$A$60,0)),"?"))</f>
        <v/>
      </c>
      <c r="G523" s="38" t="n"/>
      <c r="H523" s="59" t="n"/>
      <c r="I523" s="38" t="n"/>
      <c r="J523" s="39" t="n"/>
      <c r="K523" s="60">
        <f>IF(J523="","",SUMIFS(J$5:J523,D$5:D523,"Masuk")-SUMIFS(J$5:J523,D$5:D523,"Keluar"))</f>
        <v/>
      </c>
      <c r="L523" s="38" t="n"/>
      <c r="M523" s="38" t="n"/>
      <c r="N523" s="57">
        <f>IF(E523="","",IFERROR(IF(INDEX(Referensi!$B$5:$B$60,MATCH(E523,Referensi!$A$5:$A$60,0))=D523,"OK","Jenis tidak cocok"),"Kategori tidak dikenal"))</f>
        <v/>
      </c>
    </row>
    <row r="524" ht="15" customHeight="1" s="33">
      <c r="A524" s="57">
        <f>IF(B524="","",ROW()-4)</f>
        <v/>
      </c>
      <c r="B524" s="58" t="n"/>
      <c r="C524" s="38" t="n"/>
      <c r="D524" s="38" t="n"/>
      <c r="E524" s="38" t="n"/>
      <c r="F524" s="57">
        <f>IF(E524="","",IFERROR(INDEX(Referensi!$C$5:$C$60,MATCH(E524,Referensi!$A$5:$A$60,0)),"?"))</f>
        <v/>
      </c>
      <c r="G524" s="38" t="n"/>
      <c r="H524" s="59" t="n"/>
      <c r="I524" s="38" t="n"/>
      <c r="J524" s="39" t="n"/>
      <c r="K524" s="60">
        <f>IF(J524="","",SUMIFS(J$5:J524,D$5:D524,"Masuk")-SUMIFS(J$5:J524,D$5:D524,"Keluar"))</f>
        <v/>
      </c>
      <c r="L524" s="38" t="n"/>
      <c r="M524" s="38" t="n"/>
      <c r="N524" s="57">
        <f>IF(E524="","",IFERROR(IF(INDEX(Referensi!$B$5:$B$60,MATCH(E524,Referensi!$A$5:$A$60,0))=D524,"OK","Jenis tidak cocok"),"Kategori tidak dikenal"))</f>
        <v/>
      </c>
    </row>
    <row r="525" ht="15" customHeight="1" s="33">
      <c r="A525" s="57">
        <f>IF(B525="","",ROW()-4)</f>
        <v/>
      </c>
      <c r="B525" s="58" t="n"/>
      <c r="C525" s="38" t="n"/>
      <c r="D525" s="38" t="n"/>
      <c r="E525" s="38" t="n"/>
      <c r="F525" s="57">
        <f>IF(E525="","",IFERROR(INDEX(Referensi!$C$5:$C$60,MATCH(E525,Referensi!$A$5:$A$60,0)),"?"))</f>
        <v/>
      </c>
      <c r="G525" s="38" t="n"/>
      <c r="H525" s="59" t="n"/>
      <c r="I525" s="38" t="n"/>
      <c r="J525" s="39" t="n"/>
      <c r="K525" s="60">
        <f>IF(J525="","",SUMIFS(J$5:J525,D$5:D525,"Masuk")-SUMIFS(J$5:J525,D$5:D525,"Keluar"))</f>
        <v/>
      </c>
      <c r="L525" s="38" t="n"/>
      <c r="M525" s="38" t="n"/>
      <c r="N525" s="57">
        <f>IF(E525="","",IFERROR(IF(INDEX(Referensi!$B$5:$B$60,MATCH(E525,Referensi!$A$5:$A$60,0))=D525,"OK","Jenis tidak cocok"),"Kategori tidak dikenal"))</f>
        <v/>
      </c>
    </row>
    <row r="526" ht="15" customHeight="1" s="33">
      <c r="A526" s="57">
        <f>IF(B526="","",ROW()-4)</f>
        <v/>
      </c>
      <c r="B526" s="58" t="n"/>
      <c r="C526" s="38" t="n"/>
      <c r="D526" s="38" t="n"/>
      <c r="E526" s="38" t="n"/>
      <c r="F526" s="57">
        <f>IF(E526="","",IFERROR(INDEX(Referensi!$C$5:$C$60,MATCH(E526,Referensi!$A$5:$A$60,0)),"?"))</f>
        <v/>
      </c>
      <c r="G526" s="38" t="n"/>
      <c r="H526" s="59" t="n"/>
      <c r="I526" s="38" t="n"/>
      <c r="J526" s="39" t="n"/>
      <c r="K526" s="60">
        <f>IF(J526="","",SUMIFS(J$5:J526,D$5:D526,"Masuk")-SUMIFS(J$5:J526,D$5:D526,"Keluar"))</f>
        <v/>
      </c>
      <c r="L526" s="38" t="n"/>
      <c r="M526" s="38" t="n"/>
      <c r="N526" s="57">
        <f>IF(E526="","",IFERROR(IF(INDEX(Referensi!$B$5:$B$60,MATCH(E526,Referensi!$A$5:$A$60,0))=D526,"OK","Jenis tidak cocok"),"Kategori tidak dikenal"))</f>
        <v/>
      </c>
    </row>
    <row r="527" ht="15" customHeight="1" s="33">
      <c r="A527" s="57">
        <f>IF(B527="","",ROW()-4)</f>
        <v/>
      </c>
      <c r="B527" s="58" t="n"/>
      <c r="C527" s="38" t="n"/>
      <c r="D527" s="38" t="n"/>
      <c r="E527" s="38" t="n"/>
      <c r="F527" s="57">
        <f>IF(E527="","",IFERROR(INDEX(Referensi!$C$5:$C$60,MATCH(E527,Referensi!$A$5:$A$60,0)),"?"))</f>
        <v/>
      </c>
      <c r="G527" s="38" t="n"/>
      <c r="H527" s="59" t="n"/>
      <c r="I527" s="38" t="n"/>
      <c r="J527" s="39" t="n"/>
      <c r="K527" s="60">
        <f>IF(J527="","",SUMIFS(J$5:J527,D$5:D527,"Masuk")-SUMIFS(J$5:J527,D$5:D527,"Keluar"))</f>
        <v/>
      </c>
      <c r="L527" s="38" t="n"/>
      <c r="M527" s="38" t="n"/>
      <c r="N527" s="57">
        <f>IF(E527="","",IFERROR(IF(INDEX(Referensi!$B$5:$B$60,MATCH(E527,Referensi!$A$5:$A$60,0))=D527,"OK","Jenis tidak cocok"),"Kategori tidak dikenal"))</f>
        <v/>
      </c>
    </row>
    <row r="528" ht="15" customHeight="1" s="33">
      <c r="A528" s="57">
        <f>IF(B528="","",ROW()-4)</f>
        <v/>
      </c>
      <c r="B528" s="58" t="n"/>
      <c r="C528" s="38" t="n"/>
      <c r="D528" s="38" t="n"/>
      <c r="E528" s="38" t="n"/>
      <c r="F528" s="57">
        <f>IF(E528="","",IFERROR(INDEX(Referensi!$C$5:$C$60,MATCH(E528,Referensi!$A$5:$A$60,0)),"?"))</f>
        <v/>
      </c>
      <c r="G528" s="38" t="n"/>
      <c r="H528" s="59" t="n"/>
      <c r="I528" s="38" t="n"/>
      <c r="J528" s="39" t="n"/>
      <c r="K528" s="60">
        <f>IF(J528="","",SUMIFS(J$5:J528,D$5:D528,"Masuk")-SUMIFS(J$5:J528,D$5:D528,"Keluar"))</f>
        <v/>
      </c>
      <c r="L528" s="38" t="n"/>
      <c r="M528" s="38" t="n"/>
      <c r="N528" s="57">
        <f>IF(E528="","",IFERROR(IF(INDEX(Referensi!$B$5:$B$60,MATCH(E528,Referensi!$A$5:$A$60,0))=D528,"OK","Jenis tidak cocok"),"Kategori tidak dikenal"))</f>
        <v/>
      </c>
    </row>
    <row r="529" ht="15" customHeight="1" s="33">
      <c r="A529" s="57">
        <f>IF(B529="","",ROW()-4)</f>
        <v/>
      </c>
      <c r="B529" s="58" t="n"/>
      <c r="C529" s="38" t="n"/>
      <c r="D529" s="38" t="n"/>
      <c r="E529" s="38" t="n"/>
      <c r="F529" s="57">
        <f>IF(E529="","",IFERROR(INDEX(Referensi!$C$5:$C$60,MATCH(E529,Referensi!$A$5:$A$60,0)),"?"))</f>
        <v/>
      </c>
      <c r="G529" s="38" t="n"/>
      <c r="H529" s="59" t="n"/>
      <c r="I529" s="38" t="n"/>
      <c r="J529" s="39" t="n"/>
      <c r="K529" s="60">
        <f>IF(J529="","",SUMIFS(J$5:J529,D$5:D529,"Masuk")-SUMIFS(J$5:J529,D$5:D529,"Keluar"))</f>
        <v/>
      </c>
      <c r="L529" s="38" t="n"/>
      <c r="M529" s="38" t="n"/>
      <c r="N529" s="57">
        <f>IF(E529="","",IFERROR(IF(INDEX(Referensi!$B$5:$B$60,MATCH(E529,Referensi!$A$5:$A$60,0))=D529,"OK","Jenis tidak cocok"),"Kategori tidak dikenal"))</f>
        <v/>
      </c>
    </row>
    <row r="530" ht="15" customHeight="1" s="33">
      <c r="A530" s="57">
        <f>IF(B530="","",ROW()-4)</f>
        <v/>
      </c>
      <c r="B530" s="58" t="n"/>
      <c r="C530" s="38" t="n"/>
      <c r="D530" s="38" t="n"/>
      <c r="E530" s="38" t="n"/>
      <c r="F530" s="57">
        <f>IF(E530="","",IFERROR(INDEX(Referensi!$C$5:$C$60,MATCH(E530,Referensi!$A$5:$A$60,0)),"?"))</f>
        <v/>
      </c>
      <c r="G530" s="38" t="n"/>
      <c r="H530" s="59" t="n"/>
      <c r="I530" s="38" t="n"/>
      <c r="J530" s="39" t="n"/>
      <c r="K530" s="60">
        <f>IF(J530="","",SUMIFS(J$5:J530,D$5:D530,"Masuk")-SUMIFS(J$5:J530,D$5:D530,"Keluar"))</f>
        <v/>
      </c>
      <c r="L530" s="38" t="n"/>
      <c r="M530" s="38" t="n"/>
      <c r="N530" s="57">
        <f>IF(E530="","",IFERROR(IF(INDEX(Referensi!$B$5:$B$60,MATCH(E530,Referensi!$A$5:$A$60,0))=D530,"OK","Jenis tidak cocok"),"Kategori tidak dikenal"))</f>
        <v/>
      </c>
    </row>
    <row r="531" ht="15" customHeight="1" s="33">
      <c r="A531" s="57">
        <f>IF(B531="","",ROW()-4)</f>
        <v/>
      </c>
      <c r="B531" s="58" t="n"/>
      <c r="C531" s="38" t="n"/>
      <c r="D531" s="38" t="n"/>
      <c r="E531" s="38" t="n"/>
      <c r="F531" s="57">
        <f>IF(E531="","",IFERROR(INDEX(Referensi!$C$5:$C$60,MATCH(E531,Referensi!$A$5:$A$60,0)),"?"))</f>
        <v/>
      </c>
      <c r="G531" s="38" t="n"/>
      <c r="H531" s="59" t="n"/>
      <c r="I531" s="38" t="n"/>
      <c r="J531" s="39" t="n"/>
      <c r="K531" s="60">
        <f>IF(J531="","",SUMIFS(J$5:J531,D$5:D531,"Masuk")-SUMIFS(J$5:J531,D$5:D531,"Keluar"))</f>
        <v/>
      </c>
      <c r="L531" s="38" t="n"/>
      <c r="M531" s="38" t="n"/>
      <c r="N531" s="57">
        <f>IF(E531="","",IFERROR(IF(INDEX(Referensi!$B$5:$B$60,MATCH(E531,Referensi!$A$5:$A$60,0))=D531,"OK","Jenis tidak cocok"),"Kategori tidak dikenal"))</f>
        <v/>
      </c>
    </row>
    <row r="532" ht="15" customHeight="1" s="33">
      <c r="A532" s="57">
        <f>IF(B532="","",ROW()-4)</f>
        <v/>
      </c>
      <c r="B532" s="58" t="n"/>
      <c r="C532" s="38" t="n"/>
      <c r="D532" s="38" t="n"/>
      <c r="E532" s="38" t="n"/>
      <c r="F532" s="57">
        <f>IF(E532="","",IFERROR(INDEX(Referensi!$C$5:$C$60,MATCH(E532,Referensi!$A$5:$A$60,0)),"?"))</f>
        <v/>
      </c>
      <c r="G532" s="38" t="n"/>
      <c r="H532" s="59" t="n"/>
      <c r="I532" s="38" t="n"/>
      <c r="J532" s="39" t="n"/>
      <c r="K532" s="60">
        <f>IF(J532="","",SUMIFS(J$5:J532,D$5:D532,"Masuk")-SUMIFS(J$5:J532,D$5:D532,"Keluar"))</f>
        <v/>
      </c>
      <c r="L532" s="38" t="n"/>
      <c r="M532" s="38" t="n"/>
      <c r="N532" s="57">
        <f>IF(E532="","",IFERROR(IF(INDEX(Referensi!$B$5:$B$60,MATCH(E532,Referensi!$A$5:$A$60,0))=D532,"OK","Jenis tidak cocok"),"Kategori tidak dikenal"))</f>
        <v/>
      </c>
    </row>
    <row r="533" ht="15" customHeight="1" s="33">
      <c r="A533" s="57">
        <f>IF(B533="","",ROW()-4)</f>
        <v/>
      </c>
      <c r="B533" s="58" t="n"/>
      <c r="C533" s="38" t="n"/>
      <c r="D533" s="38" t="n"/>
      <c r="E533" s="38" t="n"/>
      <c r="F533" s="57">
        <f>IF(E533="","",IFERROR(INDEX(Referensi!$C$5:$C$60,MATCH(E533,Referensi!$A$5:$A$60,0)),"?"))</f>
        <v/>
      </c>
      <c r="G533" s="38" t="n"/>
      <c r="H533" s="59" t="n"/>
      <c r="I533" s="38" t="n"/>
      <c r="J533" s="39" t="n"/>
      <c r="K533" s="60">
        <f>IF(J533="","",SUMIFS(J$5:J533,D$5:D533,"Masuk")-SUMIFS(J$5:J533,D$5:D533,"Keluar"))</f>
        <v/>
      </c>
      <c r="L533" s="38" t="n"/>
      <c r="M533" s="38" t="n"/>
      <c r="N533" s="57">
        <f>IF(E533="","",IFERROR(IF(INDEX(Referensi!$B$5:$B$60,MATCH(E533,Referensi!$A$5:$A$60,0))=D533,"OK","Jenis tidak cocok"),"Kategori tidak dikenal"))</f>
        <v/>
      </c>
    </row>
    <row r="534" ht="15" customHeight="1" s="33">
      <c r="A534" s="57">
        <f>IF(B534="","",ROW()-4)</f>
        <v/>
      </c>
      <c r="B534" s="58" t="n"/>
      <c r="C534" s="38" t="n"/>
      <c r="D534" s="38" t="n"/>
      <c r="E534" s="38" t="n"/>
      <c r="F534" s="57">
        <f>IF(E534="","",IFERROR(INDEX(Referensi!$C$5:$C$60,MATCH(E534,Referensi!$A$5:$A$60,0)),"?"))</f>
        <v/>
      </c>
      <c r="G534" s="38" t="n"/>
      <c r="H534" s="59" t="n"/>
      <c r="I534" s="38" t="n"/>
      <c r="J534" s="39" t="n"/>
      <c r="K534" s="60">
        <f>IF(J534="","",SUMIFS(J$5:J534,D$5:D534,"Masuk")-SUMIFS(J$5:J534,D$5:D534,"Keluar"))</f>
        <v/>
      </c>
      <c r="L534" s="38" t="n"/>
      <c r="M534" s="38" t="n"/>
      <c r="N534" s="57">
        <f>IF(E534="","",IFERROR(IF(INDEX(Referensi!$B$5:$B$60,MATCH(E534,Referensi!$A$5:$A$60,0))=D534,"OK","Jenis tidak cocok"),"Kategori tidak dikenal"))</f>
        <v/>
      </c>
    </row>
    <row r="535" ht="15" customHeight="1" s="33">
      <c r="A535" s="57">
        <f>IF(B535="","",ROW()-4)</f>
        <v/>
      </c>
      <c r="B535" s="58" t="n"/>
      <c r="C535" s="38" t="n"/>
      <c r="D535" s="38" t="n"/>
      <c r="E535" s="38" t="n"/>
      <c r="F535" s="57">
        <f>IF(E535="","",IFERROR(INDEX(Referensi!$C$5:$C$60,MATCH(E535,Referensi!$A$5:$A$60,0)),"?"))</f>
        <v/>
      </c>
      <c r="G535" s="38" t="n"/>
      <c r="H535" s="59" t="n"/>
      <c r="I535" s="38" t="n"/>
      <c r="J535" s="39" t="n"/>
      <c r="K535" s="60">
        <f>IF(J535="","",SUMIFS(J$5:J535,D$5:D535,"Masuk")-SUMIFS(J$5:J535,D$5:D535,"Keluar"))</f>
        <v/>
      </c>
      <c r="L535" s="38" t="n"/>
      <c r="M535" s="38" t="n"/>
      <c r="N535" s="57">
        <f>IF(E535="","",IFERROR(IF(INDEX(Referensi!$B$5:$B$60,MATCH(E535,Referensi!$A$5:$A$60,0))=D535,"OK","Jenis tidak cocok"),"Kategori tidak dikenal"))</f>
        <v/>
      </c>
    </row>
    <row r="536" ht="15" customHeight="1" s="33">
      <c r="A536" s="57">
        <f>IF(B536="","",ROW()-4)</f>
        <v/>
      </c>
      <c r="B536" s="58" t="n"/>
      <c r="C536" s="38" t="n"/>
      <c r="D536" s="38" t="n"/>
      <c r="E536" s="38" t="n"/>
      <c r="F536" s="57">
        <f>IF(E536="","",IFERROR(INDEX(Referensi!$C$5:$C$60,MATCH(E536,Referensi!$A$5:$A$60,0)),"?"))</f>
        <v/>
      </c>
      <c r="G536" s="38" t="n"/>
      <c r="H536" s="59" t="n"/>
      <c r="I536" s="38" t="n"/>
      <c r="J536" s="39" t="n"/>
      <c r="K536" s="60">
        <f>IF(J536="","",SUMIFS(J$5:J536,D$5:D536,"Masuk")-SUMIFS(J$5:J536,D$5:D536,"Keluar"))</f>
        <v/>
      </c>
      <c r="L536" s="38" t="n"/>
      <c r="M536" s="38" t="n"/>
      <c r="N536" s="57">
        <f>IF(E536="","",IFERROR(IF(INDEX(Referensi!$B$5:$B$60,MATCH(E536,Referensi!$A$5:$A$60,0))=D536,"OK","Jenis tidak cocok"),"Kategori tidak dikenal"))</f>
        <v/>
      </c>
    </row>
    <row r="537" ht="15" customHeight="1" s="33">
      <c r="A537" s="57">
        <f>IF(B537="","",ROW()-4)</f>
        <v/>
      </c>
      <c r="B537" s="58" t="n"/>
      <c r="C537" s="38" t="n"/>
      <c r="D537" s="38" t="n"/>
      <c r="E537" s="38" t="n"/>
      <c r="F537" s="57">
        <f>IF(E537="","",IFERROR(INDEX(Referensi!$C$5:$C$60,MATCH(E537,Referensi!$A$5:$A$60,0)),"?"))</f>
        <v/>
      </c>
      <c r="G537" s="38" t="n"/>
      <c r="H537" s="59" t="n"/>
      <c r="I537" s="38" t="n"/>
      <c r="J537" s="39" t="n"/>
      <c r="K537" s="60">
        <f>IF(J537="","",SUMIFS(J$5:J537,D$5:D537,"Masuk")-SUMIFS(J$5:J537,D$5:D537,"Keluar"))</f>
        <v/>
      </c>
      <c r="L537" s="38" t="n"/>
      <c r="M537" s="38" t="n"/>
      <c r="N537" s="57">
        <f>IF(E537="","",IFERROR(IF(INDEX(Referensi!$B$5:$B$60,MATCH(E537,Referensi!$A$5:$A$60,0))=D537,"OK","Jenis tidak cocok"),"Kategori tidak dikenal"))</f>
        <v/>
      </c>
    </row>
    <row r="538" ht="15" customHeight="1" s="33">
      <c r="A538" s="57">
        <f>IF(B538="","",ROW()-4)</f>
        <v/>
      </c>
      <c r="B538" s="58" t="n"/>
      <c r="C538" s="38" t="n"/>
      <c r="D538" s="38" t="n"/>
      <c r="E538" s="38" t="n"/>
      <c r="F538" s="57">
        <f>IF(E538="","",IFERROR(INDEX(Referensi!$C$5:$C$60,MATCH(E538,Referensi!$A$5:$A$60,0)),"?"))</f>
        <v/>
      </c>
      <c r="G538" s="38" t="n"/>
      <c r="H538" s="59" t="n"/>
      <c r="I538" s="38" t="n"/>
      <c r="J538" s="39" t="n"/>
      <c r="K538" s="60">
        <f>IF(J538="","",SUMIFS(J$5:J538,D$5:D538,"Masuk")-SUMIFS(J$5:J538,D$5:D538,"Keluar"))</f>
        <v/>
      </c>
      <c r="L538" s="38" t="n"/>
      <c r="M538" s="38" t="n"/>
      <c r="N538" s="57">
        <f>IF(E538="","",IFERROR(IF(INDEX(Referensi!$B$5:$B$60,MATCH(E538,Referensi!$A$5:$A$60,0))=D538,"OK","Jenis tidak cocok"),"Kategori tidak dikenal"))</f>
        <v/>
      </c>
    </row>
    <row r="539" ht="15" customHeight="1" s="33">
      <c r="A539" s="57">
        <f>IF(B539="","",ROW()-4)</f>
        <v/>
      </c>
      <c r="B539" s="58" t="n"/>
      <c r="C539" s="38" t="n"/>
      <c r="D539" s="38" t="n"/>
      <c r="E539" s="38" t="n"/>
      <c r="F539" s="57">
        <f>IF(E539="","",IFERROR(INDEX(Referensi!$C$5:$C$60,MATCH(E539,Referensi!$A$5:$A$60,0)),"?"))</f>
        <v/>
      </c>
      <c r="G539" s="38" t="n"/>
      <c r="H539" s="59" t="n"/>
      <c r="I539" s="38" t="n"/>
      <c r="J539" s="39" t="n"/>
      <c r="K539" s="60">
        <f>IF(J539="","",SUMIFS(J$5:J539,D$5:D539,"Masuk")-SUMIFS(J$5:J539,D$5:D539,"Keluar"))</f>
        <v/>
      </c>
      <c r="L539" s="38" t="n"/>
      <c r="M539" s="38" t="n"/>
      <c r="N539" s="57">
        <f>IF(E539="","",IFERROR(IF(INDEX(Referensi!$B$5:$B$60,MATCH(E539,Referensi!$A$5:$A$60,0))=D539,"OK","Jenis tidak cocok"),"Kategori tidak dikenal"))</f>
        <v/>
      </c>
    </row>
    <row r="540" ht="15" customHeight="1" s="33">
      <c r="A540" s="57">
        <f>IF(B540="","",ROW()-4)</f>
        <v/>
      </c>
      <c r="B540" s="58" t="n"/>
      <c r="C540" s="38" t="n"/>
      <c r="D540" s="38" t="n"/>
      <c r="E540" s="38" t="n"/>
      <c r="F540" s="57">
        <f>IF(E540="","",IFERROR(INDEX(Referensi!$C$5:$C$60,MATCH(E540,Referensi!$A$5:$A$60,0)),"?"))</f>
        <v/>
      </c>
      <c r="G540" s="38" t="n"/>
      <c r="H540" s="59" t="n"/>
      <c r="I540" s="38" t="n"/>
      <c r="J540" s="39" t="n"/>
      <c r="K540" s="60">
        <f>IF(J540="","",SUMIFS(J$5:J540,D$5:D540,"Masuk")-SUMIFS(J$5:J540,D$5:D540,"Keluar"))</f>
        <v/>
      </c>
      <c r="L540" s="38" t="n"/>
      <c r="M540" s="38" t="n"/>
      <c r="N540" s="57">
        <f>IF(E540="","",IFERROR(IF(INDEX(Referensi!$B$5:$B$60,MATCH(E540,Referensi!$A$5:$A$60,0))=D540,"OK","Jenis tidak cocok"),"Kategori tidak dikenal"))</f>
        <v/>
      </c>
    </row>
    <row r="541" ht="15" customHeight="1" s="33">
      <c r="A541" s="57">
        <f>IF(B541="","",ROW()-4)</f>
        <v/>
      </c>
      <c r="B541" s="58" t="n"/>
      <c r="C541" s="38" t="n"/>
      <c r="D541" s="38" t="n"/>
      <c r="E541" s="38" t="n"/>
      <c r="F541" s="57">
        <f>IF(E541="","",IFERROR(INDEX(Referensi!$C$5:$C$60,MATCH(E541,Referensi!$A$5:$A$60,0)),"?"))</f>
        <v/>
      </c>
      <c r="G541" s="38" t="n"/>
      <c r="H541" s="59" t="n"/>
      <c r="I541" s="38" t="n"/>
      <c r="J541" s="39" t="n"/>
      <c r="K541" s="60">
        <f>IF(J541="","",SUMIFS(J$5:J541,D$5:D541,"Masuk")-SUMIFS(J$5:J541,D$5:D541,"Keluar"))</f>
        <v/>
      </c>
      <c r="L541" s="38" t="n"/>
      <c r="M541" s="38" t="n"/>
      <c r="N541" s="57">
        <f>IF(E541="","",IFERROR(IF(INDEX(Referensi!$B$5:$B$60,MATCH(E541,Referensi!$A$5:$A$60,0))=D541,"OK","Jenis tidak cocok"),"Kategori tidak dikenal"))</f>
        <v/>
      </c>
    </row>
    <row r="542" ht="15" customHeight="1" s="33">
      <c r="A542" s="57">
        <f>IF(B542="","",ROW()-4)</f>
        <v/>
      </c>
      <c r="B542" s="58" t="n"/>
      <c r="C542" s="38" t="n"/>
      <c r="D542" s="38" t="n"/>
      <c r="E542" s="38" t="n"/>
      <c r="F542" s="57">
        <f>IF(E542="","",IFERROR(INDEX(Referensi!$C$5:$C$60,MATCH(E542,Referensi!$A$5:$A$60,0)),"?"))</f>
        <v/>
      </c>
      <c r="G542" s="38" t="n"/>
      <c r="H542" s="59" t="n"/>
      <c r="I542" s="38" t="n"/>
      <c r="J542" s="39" t="n"/>
      <c r="K542" s="60">
        <f>IF(J542="","",SUMIFS(J$5:J542,D$5:D542,"Masuk")-SUMIFS(J$5:J542,D$5:D542,"Keluar"))</f>
        <v/>
      </c>
      <c r="L542" s="38" t="n"/>
      <c r="M542" s="38" t="n"/>
      <c r="N542" s="57">
        <f>IF(E542="","",IFERROR(IF(INDEX(Referensi!$B$5:$B$60,MATCH(E542,Referensi!$A$5:$A$60,0))=D542,"OK","Jenis tidak cocok"),"Kategori tidak dikenal"))</f>
        <v/>
      </c>
    </row>
    <row r="543" ht="15" customHeight="1" s="33">
      <c r="A543" s="57">
        <f>IF(B543="","",ROW()-4)</f>
        <v/>
      </c>
      <c r="B543" s="58" t="n"/>
      <c r="C543" s="38" t="n"/>
      <c r="D543" s="38" t="n"/>
      <c r="E543" s="38" t="n"/>
      <c r="F543" s="57">
        <f>IF(E543="","",IFERROR(INDEX(Referensi!$C$5:$C$60,MATCH(E543,Referensi!$A$5:$A$60,0)),"?"))</f>
        <v/>
      </c>
      <c r="G543" s="38" t="n"/>
      <c r="H543" s="59" t="n"/>
      <c r="I543" s="38" t="n"/>
      <c r="J543" s="39" t="n"/>
      <c r="K543" s="60">
        <f>IF(J543="","",SUMIFS(J$5:J543,D$5:D543,"Masuk")-SUMIFS(J$5:J543,D$5:D543,"Keluar"))</f>
        <v/>
      </c>
      <c r="L543" s="38" t="n"/>
      <c r="M543" s="38" t="n"/>
      <c r="N543" s="57">
        <f>IF(E543="","",IFERROR(IF(INDEX(Referensi!$B$5:$B$60,MATCH(E543,Referensi!$A$5:$A$60,0))=D543,"OK","Jenis tidak cocok"),"Kategori tidak dikenal"))</f>
        <v/>
      </c>
    </row>
    <row r="544" ht="15" customHeight="1" s="33">
      <c r="A544" s="57">
        <f>IF(B544="","",ROW()-4)</f>
        <v/>
      </c>
      <c r="B544" s="58" t="n"/>
      <c r="C544" s="38" t="n"/>
      <c r="D544" s="38" t="n"/>
      <c r="E544" s="38" t="n"/>
      <c r="F544" s="57">
        <f>IF(E544="","",IFERROR(INDEX(Referensi!$C$5:$C$60,MATCH(E544,Referensi!$A$5:$A$60,0)),"?"))</f>
        <v/>
      </c>
      <c r="G544" s="38" t="n"/>
      <c r="H544" s="59" t="n"/>
      <c r="I544" s="38" t="n"/>
      <c r="J544" s="39" t="n"/>
      <c r="K544" s="60">
        <f>IF(J544="","",SUMIFS(J$5:J544,D$5:D544,"Masuk")-SUMIFS(J$5:J544,D$5:D544,"Keluar"))</f>
        <v/>
      </c>
      <c r="L544" s="38" t="n"/>
      <c r="M544" s="38" t="n"/>
      <c r="N544" s="57">
        <f>IF(E544="","",IFERROR(IF(INDEX(Referensi!$B$5:$B$60,MATCH(E544,Referensi!$A$5:$A$60,0))=D544,"OK","Jenis tidak cocok"),"Kategori tidak dikenal"))</f>
        <v/>
      </c>
    </row>
    <row r="545" ht="15" customHeight="1" s="33">
      <c r="A545" s="57">
        <f>IF(B545="","",ROW()-4)</f>
        <v/>
      </c>
      <c r="B545" s="58" t="n"/>
      <c r="C545" s="38" t="n"/>
      <c r="D545" s="38" t="n"/>
      <c r="E545" s="38" t="n"/>
      <c r="F545" s="57">
        <f>IF(E545="","",IFERROR(INDEX(Referensi!$C$5:$C$60,MATCH(E545,Referensi!$A$5:$A$60,0)),"?"))</f>
        <v/>
      </c>
      <c r="G545" s="38" t="n"/>
      <c r="H545" s="59" t="n"/>
      <c r="I545" s="38" t="n"/>
      <c r="J545" s="39" t="n"/>
      <c r="K545" s="60">
        <f>IF(J545="","",SUMIFS(J$5:J545,D$5:D545,"Masuk")-SUMIFS(J$5:J545,D$5:D545,"Keluar"))</f>
        <v/>
      </c>
      <c r="L545" s="38" t="n"/>
      <c r="M545" s="38" t="n"/>
      <c r="N545" s="57">
        <f>IF(E545="","",IFERROR(IF(INDEX(Referensi!$B$5:$B$60,MATCH(E545,Referensi!$A$5:$A$60,0))=D545,"OK","Jenis tidak cocok"),"Kategori tidak dikenal"))</f>
        <v/>
      </c>
    </row>
    <row r="546" ht="15" customHeight="1" s="33">
      <c r="A546" s="57">
        <f>IF(B546="","",ROW()-4)</f>
        <v/>
      </c>
      <c r="B546" s="58" t="n"/>
      <c r="C546" s="38" t="n"/>
      <c r="D546" s="38" t="n"/>
      <c r="E546" s="38" t="n"/>
      <c r="F546" s="57">
        <f>IF(E546="","",IFERROR(INDEX(Referensi!$C$5:$C$60,MATCH(E546,Referensi!$A$5:$A$60,0)),"?"))</f>
        <v/>
      </c>
      <c r="G546" s="38" t="n"/>
      <c r="H546" s="59" t="n"/>
      <c r="I546" s="38" t="n"/>
      <c r="J546" s="39" t="n"/>
      <c r="K546" s="60">
        <f>IF(J546="","",SUMIFS(J$5:J546,D$5:D546,"Masuk")-SUMIFS(J$5:J546,D$5:D546,"Keluar"))</f>
        <v/>
      </c>
      <c r="L546" s="38" t="n"/>
      <c r="M546" s="38" t="n"/>
      <c r="N546" s="57">
        <f>IF(E546="","",IFERROR(IF(INDEX(Referensi!$B$5:$B$60,MATCH(E546,Referensi!$A$5:$A$60,0))=D546,"OK","Jenis tidak cocok"),"Kategori tidak dikenal"))</f>
        <v/>
      </c>
    </row>
    <row r="547" ht="15" customHeight="1" s="33">
      <c r="A547" s="57">
        <f>IF(B547="","",ROW()-4)</f>
        <v/>
      </c>
      <c r="B547" s="58" t="n"/>
      <c r="C547" s="38" t="n"/>
      <c r="D547" s="38" t="n"/>
      <c r="E547" s="38" t="n"/>
      <c r="F547" s="57">
        <f>IF(E547="","",IFERROR(INDEX(Referensi!$C$5:$C$60,MATCH(E547,Referensi!$A$5:$A$60,0)),"?"))</f>
        <v/>
      </c>
      <c r="G547" s="38" t="n"/>
      <c r="H547" s="59" t="n"/>
      <c r="I547" s="38" t="n"/>
      <c r="J547" s="39" t="n"/>
      <c r="K547" s="60">
        <f>IF(J547="","",SUMIFS(J$5:J547,D$5:D547,"Masuk")-SUMIFS(J$5:J547,D$5:D547,"Keluar"))</f>
        <v/>
      </c>
      <c r="L547" s="38" t="n"/>
      <c r="M547" s="38" t="n"/>
      <c r="N547" s="57">
        <f>IF(E547="","",IFERROR(IF(INDEX(Referensi!$B$5:$B$60,MATCH(E547,Referensi!$A$5:$A$60,0))=D547,"OK","Jenis tidak cocok"),"Kategori tidak dikenal"))</f>
        <v/>
      </c>
    </row>
    <row r="548" ht="15" customHeight="1" s="33">
      <c r="A548" s="57">
        <f>IF(B548="","",ROW()-4)</f>
        <v/>
      </c>
      <c r="B548" s="58" t="n"/>
      <c r="C548" s="38" t="n"/>
      <c r="D548" s="38" t="n"/>
      <c r="E548" s="38" t="n"/>
      <c r="F548" s="57">
        <f>IF(E548="","",IFERROR(INDEX(Referensi!$C$5:$C$60,MATCH(E548,Referensi!$A$5:$A$60,0)),"?"))</f>
        <v/>
      </c>
      <c r="G548" s="38" t="n"/>
      <c r="H548" s="59" t="n"/>
      <c r="I548" s="38" t="n"/>
      <c r="J548" s="39" t="n"/>
      <c r="K548" s="60">
        <f>IF(J548="","",SUMIFS(J$5:J548,D$5:D548,"Masuk")-SUMIFS(J$5:J548,D$5:D548,"Keluar"))</f>
        <v/>
      </c>
      <c r="L548" s="38" t="n"/>
      <c r="M548" s="38" t="n"/>
      <c r="N548" s="57">
        <f>IF(E548="","",IFERROR(IF(INDEX(Referensi!$B$5:$B$60,MATCH(E548,Referensi!$A$5:$A$60,0))=D548,"OK","Jenis tidak cocok"),"Kategori tidak dikenal"))</f>
        <v/>
      </c>
    </row>
    <row r="549" ht="15" customHeight="1" s="33">
      <c r="A549" s="57">
        <f>IF(B549="","",ROW()-4)</f>
        <v/>
      </c>
      <c r="B549" s="58" t="n"/>
      <c r="C549" s="38" t="n"/>
      <c r="D549" s="38" t="n"/>
      <c r="E549" s="38" t="n"/>
      <c r="F549" s="57">
        <f>IF(E549="","",IFERROR(INDEX(Referensi!$C$5:$C$60,MATCH(E549,Referensi!$A$5:$A$60,0)),"?"))</f>
        <v/>
      </c>
      <c r="G549" s="38" t="n"/>
      <c r="H549" s="59" t="n"/>
      <c r="I549" s="38" t="n"/>
      <c r="J549" s="39" t="n"/>
      <c r="K549" s="60">
        <f>IF(J549="","",SUMIFS(J$5:J549,D$5:D549,"Masuk")-SUMIFS(J$5:J549,D$5:D549,"Keluar"))</f>
        <v/>
      </c>
      <c r="L549" s="38" t="n"/>
      <c r="M549" s="38" t="n"/>
      <c r="N549" s="57">
        <f>IF(E549="","",IFERROR(IF(INDEX(Referensi!$B$5:$B$60,MATCH(E549,Referensi!$A$5:$A$60,0))=D549,"OK","Jenis tidak cocok"),"Kategori tidak dikenal"))</f>
        <v/>
      </c>
    </row>
    <row r="550" ht="15" customHeight="1" s="33">
      <c r="A550" s="57">
        <f>IF(B550="","",ROW()-4)</f>
        <v/>
      </c>
      <c r="B550" s="58" t="n"/>
      <c r="C550" s="38" t="n"/>
      <c r="D550" s="38" t="n"/>
      <c r="E550" s="38" t="n"/>
      <c r="F550" s="57">
        <f>IF(E550="","",IFERROR(INDEX(Referensi!$C$5:$C$60,MATCH(E550,Referensi!$A$5:$A$60,0)),"?"))</f>
        <v/>
      </c>
      <c r="G550" s="38" t="n"/>
      <c r="H550" s="59" t="n"/>
      <c r="I550" s="38" t="n"/>
      <c r="J550" s="39" t="n"/>
      <c r="K550" s="60">
        <f>IF(J550="","",SUMIFS(J$5:J550,D$5:D550,"Masuk")-SUMIFS(J$5:J550,D$5:D550,"Keluar"))</f>
        <v/>
      </c>
      <c r="L550" s="38" t="n"/>
      <c r="M550" s="38" t="n"/>
      <c r="N550" s="57">
        <f>IF(E550="","",IFERROR(IF(INDEX(Referensi!$B$5:$B$60,MATCH(E550,Referensi!$A$5:$A$60,0))=D550,"OK","Jenis tidak cocok"),"Kategori tidak dikenal"))</f>
        <v/>
      </c>
    </row>
    <row r="551" ht="15" customHeight="1" s="33">
      <c r="A551" s="57">
        <f>IF(B551="","",ROW()-4)</f>
        <v/>
      </c>
      <c r="B551" s="58" t="n"/>
      <c r="C551" s="38" t="n"/>
      <c r="D551" s="38" t="n"/>
      <c r="E551" s="38" t="n"/>
      <c r="F551" s="57">
        <f>IF(E551="","",IFERROR(INDEX(Referensi!$C$5:$C$60,MATCH(E551,Referensi!$A$5:$A$60,0)),"?"))</f>
        <v/>
      </c>
      <c r="G551" s="38" t="n"/>
      <c r="H551" s="59" t="n"/>
      <c r="I551" s="38" t="n"/>
      <c r="J551" s="39" t="n"/>
      <c r="K551" s="60">
        <f>IF(J551="","",SUMIFS(J$5:J551,D$5:D551,"Masuk")-SUMIFS(J$5:J551,D$5:D551,"Keluar"))</f>
        <v/>
      </c>
      <c r="L551" s="38" t="n"/>
      <c r="M551" s="38" t="n"/>
      <c r="N551" s="57">
        <f>IF(E551="","",IFERROR(IF(INDEX(Referensi!$B$5:$B$60,MATCH(E551,Referensi!$A$5:$A$60,0))=D551,"OK","Jenis tidak cocok"),"Kategori tidak dikenal"))</f>
        <v/>
      </c>
    </row>
    <row r="552" ht="15" customHeight="1" s="33">
      <c r="A552" s="57">
        <f>IF(B552="","",ROW()-4)</f>
        <v/>
      </c>
      <c r="B552" s="58" t="n"/>
      <c r="C552" s="38" t="n"/>
      <c r="D552" s="38" t="n"/>
      <c r="E552" s="38" t="n"/>
      <c r="F552" s="57">
        <f>IF(E552="","",IFERROR(INDEX(Referensi!$C$5:$C$60,MATCH(E552,Referensi!$A$5:$A$60,0)),"?"))</f>
        <v/>
      </c>
      <c r="G552" s="38" t="n"/>
      <c r="H552" s="59" t="n"/>
      <c r="I552" s="38" t="n"/>
      <c r="J552" s="39" t="n"/>
      <c r="K552" s="60">
        <f>IF(J552="","",SUMIFS(J$5:J552,D$5:D552,"Masuk")-SUMIFS(J$5:J552,D$5:D552,"Keluar"))</f>
        <v/>
      </c>
      <c r="L552" s="38" t="n"/>
      <c r="M552" s="38" t="n"/>
      <c r="N552" s="57">
        <f>IF(E552="","",IFERROR(IF(INDEX(Referensi!$B$5:$B$60,MATCH(E552,Referensi!$A$5:$A$60,0))=D552,"OK","Jenis tidak cocok"),"Kategori tidak dikenal"))</f>
        <v/>
      </c>
    </row>
    <row r="553" ht="15" customHeight="1" s="33">
      <c r="A553" s="57">
        <f>IF(B553="","",ROW()-4)</f>
        <v/>
      </c>
      <c r="B553" s="58" t="n"/>
      <c r="C553" s="38" t="n"/>
      <c r="D553" s="38" t="n"/>
      <c r="E553" s="38" t="n"/>
      <c r="F553" s="57">
        <f>IF(E553="","",IFERROR(INDEX(Referensi!$C$5:$C$60,MATCH(E553,Referensi!$A$5:$A$60,0)),"?"))</f>
        <v/>
      </c>
      <c r="G553" s="38" t="n"/>
      <c r="H553" s="59" t="n"/>
      <c r="I553" s="38" t="n"/>
      <c r="J553" s="39" t="n"/>
      <c r="K553" s="60">
        <f>IF(J553="","",SUMIFS(J$5:J553,D$5:D553,"Masuk")-SUMIFS(J$5:J553,D$5:D553,"Keluar"))</f>
        <v/>
      </c>
      <c r="L553" s="38" t="n"/>
      <c r="M553" s="38" t="n"/>
      <c r="N553" s="57">
        <f>IF(E553="","",IFERROR(IF(INDEX(Referensi!$B$5:$B$60,MATCH(E553,Referensi!$A$5:$A$60,0))=D553,"OK","Jenis tidak cocok"),"Kategori tidak dikenal"))</f>
        <v/>
      </c>
    </row>
    <row r="554" ht="15" customHeight="1" s="33">
      <c r="A554" s="57">
        <f>IF(B554="","",ROW()-4)</f>
        <v/>
      </c>
      <c r="B554" s="58" t="n"/>
      <c r="C554" s="38" t="n"/>
      <c r="D554" s="38" t="n"/>
      <c r="E554" s="38" t="n"/>
      <c r="F554" s="57">
        <f>IF(E554="","",IFERROR(INDEX(Referensi!$C$5:$C$60,MATCH(E554,Referensi!$A$5:$A$60,0)),"?"))</f>
        <v/>
      </c>
      <c r="G554" s="38" t="n"/>
      <c r="H554" s="59" t="n"/>
      <c r="I554" s="38" t="n"/>
      <c r="J554" s="39" t="n"/>
      <c r="K554" s="60">
        <f>IF(J554="","",SUMIFS(J$5:J554,D$5:D554,"Masuk")-SUMIFS(J$5:J554,D$5:D554,"Keluar"))</f>
        <v/>
      </c>
      <c r="L554" s="38" t="n"/>
      <c r="M554" s="38" t="n"/>
      <c r="N554" s="57">
        <f>IF(E554="","",IFERROR(IF(INDEX(Referensi!$B$5:$B$60,MATCH(E554,Referensi!$A$5:$A$60,0))=D554,"OK","Jenis tidak cocok"),"Kategori tidak dikenal"))</f>
        <v/>
      </c>
    </row>
    <row r="555" ht="15" customHeight="1" s="33">
      <c r="A555" s="57">
        <f>IF(B555="","",ROW()-4)</f>
        <v/>
      </c>
      <c r="B555" s="58" t="n"/>
      <c r="C555" s="38" t="n"/>
      <c r="D555" s="38" t="n"/>
      <c r="E555" s="38" t="n"/>
      <c r="F555" s="57">
        <f>IF(E555="","",IFERROR(INDEX(Referensi!$C$5:$C$60,MATCH(E555,Referensi!$A$5:$A$60,0)),"?"))</f>
        <v/>
      </c>
      <c r="G555" s="38" t="n"/>
      <c r="H555" s="59" t="n"/>
      <c r="I555" s="38" t="n"/>
      <c r="J555" s="39" t="n"/>
      <c r="K555" s="60">
        <f>IF(J555="","",SUMIFS(J$5:J555,D$5:D555,"Masuk")-SUMIFS(J$5:J555,D$5:D555,"Keluar"))</f>
        <v/>
      </c>
      <c r="L555" s="38" t="n"/>
      <c r="M555" s="38" t="n"/>
      <c r="N555" s="57">
        <f>IF(E555="","",IFERROR(IF(INDEX(Referensi!$B$5:$B$60,MATCH(E555,Referensi!$A$5:$A$60,0))=D555,"OK","Jenis tidak cocok"),"Kategori tidak dikenal"))</f>
        <v/>
      </c>
    </row>
    <row r="556" ht="15" customHeight="1" s="33">
      <c r="A556" s="57">
        <f>IF(B556="","",ROW()-4)</f>
        <v/>
      </c>
      <c r="B556" s="58" t="n"/>
      <c r="C556" s="38" t="n"/>
      <c r="D556" s="38" t="n"/>
      <c r="E556" s="38" t="n"/>
      <c r="F556" s="57">
        <f>IF(E556="","",IFERROR(INDEX(Referensi!$C$5:$C$60,MATCH(E556,Referensi!$A$5:$A$60,0)),"?"))</f>
        <v/>
      </c>
      <c r="G556" s="38" t="n"/>
      <c r="H556" s="59" t="n"/>
      <c r="I556" s="38" t="n"/>
      <c r="J556" s="39" t="n"/>
      <c r="K556" s="60">
        <f>IF(J556="","",SUMIFS(J$5:J556,D$5:D556,"Masuk")-SUMIFS(J$5:J556,D$5:D556,"Keluar"))</f>
        <v/>
      </c>
      <c r="L556" s="38" t="n"/>
      <c r="M556" s="38" t="n"/>
      <c r="N556" s="57">
        <f>IF(E556="","",IFERROR(IF(INDEX(Referensi!$B$5:$B$60,MATCH(E556,Referensi!$A$5:$A$60,0))=D556,"OK","Jenis tidak cocok"),"Kategori tidak dikenal"))</f>
        <v/>
      </c>
    </row>
    <row r="557" ht="15" customHeight="1" s="33">
      <c r="A557" s="57">
        <f>IF(B557="","",ROW()-4)</f>
        <v/>
      </c>
      <c r="B557" s="58" t="n"/>
      <c r="C557" s="38" t="n"/>
      <c r="D557" s="38" t="n"/>
      <c r="E557" s="38" t="n"/>
      <c r="F557" s="57">
        <f>IF(E557="","",IFERROR(INDEX(Referensi!$C$5:$C$60,MATCH(E557,Referensi!$A$5:$A$60,0)),"?"))</f>
        <v/>
      </c>
      <c r="G557" s="38" t="n"/>
      <c r="H557" s="59" t="n"/>
      <c r="I557" s="38" t="n"/>
      <c r="J557" s="39" t="n"/>
      <c r="K557" s="60">
        <f>IF(J557="","",SUMIFS(J$5:J557,D$5:D557,"Masuk")-SUMIFS(J$5:J557,D$5:D557,"Keluar"))</f>
        <v/>
      </c>
      <c r="L557" s="38" t="n"/>
      <c r="M557" s="38" t="n"/>
      <c r="N557" s="57">
        <f>IF(E557="","",IFERROR(IF(INDEX(Referensi!$B$5:$B$60,MATCH(E557,Referensi!$A$5:$A$60,0))=D557,"OK","Jenis tidak cocok"),"Kategori tidak dikenal"))</f>
        <v/>
      </c>
    </row>
    <row r="558" ht="15" customHeight="1" s="33">
      <c r="A558" s="57">
        <f>IF(B558="","",ROW()-4)</f>
        <v/>
      </c>
      <c r="B558" s="58" t="n"/>
      <c r="C558" s="38" t="n"/>
      <c r="D558" s="38" t="n"/>
      <c r="E558" s="38" t="n"/>
      <c r="F558" s="57">
        <f>IF(E558="","",IFERROR(INDEX(Referensi!$C$5:$C$60,MATCH(E558,Referensi!$A$5:$A$60,0)),"?"))</f>
        <v/>
      </c>
      <c r="G558" s="38" t="n"/>
      <c r="H558" s="59" t="n"/>
      <c r="I558" s="38" t="n"/>
      <c r="J558" s="39" t="n"/>
      <c r="K558" s="60">
        <f>IF(J558="","",SUMIFS(J$5:J558,D$5:D558,"Masuk")-SUMIFS(J$5:J558,D$5:D558,"Keluar"))</f>
        <v/>
      </c>
      <c r="L558" s="38" t="n"/>
      <c r="M558" s="38" t="n"/>
      <c r="N558" s="57">
        <f>IF(E558="","",IFERROR(IF(INDEX(Referensi!$B$5:$B$60,MATCH(E558,Referensi!$A$5:$A$60,0))=D558,"OK","Jenis tidak cocok"),"Kategori tidak dikenal"))</f>
        <v/>
      </c>
    </row>
    <row r="559" ht="15" customHeight="1" s="33">
      <c r="A559" s="57">
        <f>IF(B559="","",ROW()-4)</f>
        <v/>
      </c>
      <c r="B559" s="58" t="n"/>
      <c r="C559" s="38" t="n"/>
      <c r="D559" s="38" t="n"/>
      <c r="E559" s="38" t="n"/>
      <c r="F559" s="57">
        <f>IF(E559="","",IFERROR(INDEX(Referensi!$C$5:$C$60,MATCH(E559,Referensi!$A$5:$A$60,0)),"?"))</f>
        <v/>
      </c>
      <c r="G559" s="38" t="n"/>
      <c r="H559" s="59" t="n"/>
      <c r="I559" s="38" t="n"/>
      <c r="J559" s="39" t="n"/>
      <c r="K559" s="60">
        <f>IF(J559="","",SUMIFS(J$5:J559,D$5:D559,"Masuk")-SUMIFS(J$5:J559,D$5:D559,"Keluar"))</f>
        <v/>
      </c>
      <c r="L559" s="38" t="n"/>
      <c r="M559" s="38" t="n"/>
      <c r="N559" s="57">
        <f>IF(E559="","",IFERROR(IF(INDEX(Referensi!$B$5:$B$60,MATCH(E559,Referensi!$A$5:$A$60,0))=D559,"OK","Jenis tidak cocok"),"Kategori tidak dikenal"))</f>
        <v/>
      </c>
    </row>
    <row r="560" ht="15" customHeight="1" s="33">
      <c r="A560" s="57">
        <f>IF(B560="","",ROW()-4)</f>
        <v/>
      </c>
      <c r="B560" s="58" t="n"/>
      <c r="C560" s="38" t="n"/>
      <c r="D560" s="38" t="n"/>
      <c r="E560" s="38" t="n"/>
      <c r="F560" s="57">
        <f>IF(E560="","",IFERROR(INDEX(Referensi!$C$5:$C$60,MATCH(E560,Referensi!$A$5:$A$60,0)),"?"))</f>
        <v/>
      </c>
      <c r="G560" s="38" t="n"/>
      <c r="H560" s="59" t="n"/>
      <c r="I560" s="38" t="n"/>
      <c r="J560" s="39" t="n"/>
      <c r="K560" s="60">
        <f>IF(J560="","",SUMIFS(J$5:J560,D$5:D560,"Masuk")-SUMIFS(J$5:J560,D$5:D560,"Keluar"))</f>
        <v/>
      </c>
      <c r="L560" s="38" t="n"/>
      <c r="M560" s="38" t="n"/>
      <c r="N560" s="57">
        <f>IF(E560="","",IFERROR(IF(INDEX(Referensi!$B$5:$B$60,MATCH(E560,Referensi!$A$5:$A$60,0))=D560,"OK","Jenis tidak cocok"),"Kategori tidak dikenal"))</f>
        <v/>
      </c>
    </row>
    <row r="561" ht="15" customHeight="1" s="33">
      <c r="A561" s="57">
        <f>IF(B561="","",ROW()-4)</f>
        <v/>
      </c>
      <c r="B561" s="58" t="n"/>
      <c r="C561" s="38" t="n"/>
      <c r="D561" s="38" t="n"/>
      <c r="E561" s="38" t="n"/>
      <c r="F561" s="57">
        <f>IF(E561="","",IFERROR(INDEX(Referensi!$C$5:$C$60,MATCH(E561,Referensi!$A$5:$A$60,0)),"?"))</f>
        <v/>
      </c>
      <c r="G561" s="38" t="n"/>
      <c r="H561" s="59" t="n"/>
      <c r="I561" s="38" t="n"/>
      <c r="J561" s="39" t="n"/>
      <c r="K561" s="60">
        <f>IF(J561="","",SUMIFS(J$5:J561,D$5:D561,"Masuk")-SUMIFS(J$5:J561,D$5:D561,"Keluar"))</f>
        <v/>
      </c>
      <c r="L561" s="38" t="n"/>
      <c r="M561" s="38" t="n"/>
      <c r="N561" s="57">
        <f>IF(E561="","",IFERROR(IF(INDEX(Referensi!$B$5:$B$60,MATCH(E561,Referensi!$A$5:$A$60,0))=D561,"OK","Jenis tidak cocok"),"Kategori tidak dikenal"))</f>
        <v/>
      </c>
    </row>
    <row r="562" ht="15" customHeight="1" s="33">
      <c r="A562" s="57">
        <f>IF(B562="","",ROW()-4)</f>
        <v/>
      </c>
      <c r="B562" s="58" t="n"/>
      <c r="C562" s="38" t="n"/>
      <c r="D562" s="38" t="n"/>
      <c r="E562" s="38" t="n"/>
      <c r="F562" s="57">
        <f>IF(E562="","",IFERROR(INDEX(Referensi!$C$5:$C$60,MATCH(E562,Referensi!$A$5:$A$60,0)),"?"))</f>
        <v/>
      </c>
      <c r="G562" s="38" t="n"/>
      <c r="H562" s="59" t="n"/>
      <c r="I562" s="38" t="n"/>
      <c r="J562" s="39" t="n"/>
      <c r="K562" s="60">
        <f>IF(J562="","",SUMIFS(J$5:J562,D$5:D562,"Masuk")-SUMIFS(J$5:J562,D$5:D562,"Keluar"))</f>
        <v/>
      </c>
      <c r="L562" s="38" t="n"/>
      <c r="M562" s="38" t="n"/>
      <c r="N562" s="57">
        <f>IF(E562="","",IFERROR(IF(INDEX(Referensi!$B$5:$B$60,MATCH(E562,Referensi!$A$5:$A$60,0))=D562,"OK","Jenis tidak cocok"),"Kategori tidak dikenal"))</f>
        <v/>
      </c>
    </row>
    <row r="563" ht="15" customHeight="1" s="33">
      <c r="A563" s="57">
        <f>IF(B563="","",ROW()-4)</f>
        <v/>
      </c>
      <c r="B563" s="58" t="n"/>
      <c r="C563" s="38" t="n"/>
      <c r="D563" s="38" t="n"/>
      <c r="E563" s="38" t="n"/>
      <c r="F563" s="57">
        <f>IF(E563="","",IFERROR(INDEX(Referensi!$C$5:$C$60,MATCH(E563,Referensi!$A$5:$A$60,0)),"?"))</f>
        <v/>
      </c>
      <c r="G563" s="38" t="n"/>
      <c r="H563" s="59" t="n"/>
      <c r="I563" s="38" t="n"/>
      <c r="J563" s="39" t="n"/>
      <c r="K563" s="60">
        <f>IF(J563="","",SUMIFS(J$5:J563,D$5:D563,"Masuk")-SUMIFS(J$5:J563,D$5:D563,"Keluar"))</f>
        <v/>
      </c>
      <c r="L563" s="38" t="n"/>
      <c r="M563" s="38" t="n"/>
      <c r="N563" s="57">
        <f>IF(E563="","",IFERROR(IF(INDEX(Referensi!$B$5:$B$60,MATCH(E563,Referensi!$A$5:$A$60,0))=D563,"OK","Jenis tidak cocok"),"Kategori tidak dikenal"))</f>
        <v/>
      </c>
    </row>
    <row r="564" ht="15" customHeight="1" s="33">
      <c r="A564" s="57">
        <f>IF(B564="","",ROW()-4)</f>
        <v/>
      </c>
      <c r="B564" s="58" t="n"/>
      <c r="C564" s="38" t="n"/>
      <c r="D564" s="38" t="n"/>
      <c r="E564" s="38" t="n"/>
      <c r="F564" s="57">
        <f>IF(E564="","",IFERROR(INDEX(Referensi!$C$5:$C$60,MATCH(E564,Referensi!$A$5:$A$60,0)),"?"))</f>
        <v/>
      </c>
      <c r="G564" s="38" t="n"/>
      <c r="H564" s="59" t="n"/>
      <c r="I564" s="38" t="n"/>
      <c r="J564" s="39" t="n"/>
      <c r="K564" s="60">
        <f>IF(J564="","",SUMIFS(J$5:J564,D$5:D564,"Masuk")-SUMIFS(J$5:J564,D$5:D564,"Keluar"))</f>
        <v/>
      </c>
      <c r="L564" s="38" t="n"/>
      <c r="M564" s="38" t="n"/>
      <c r="N564" s="57">
        <f>IF(E564="","",IFERROR(IF(INDEX(Referensi!$B$5:$B$60,MATCH(E564,Referensi!$A$5:$A$60,0))=D564,"OK","Jenis tidak cocok"),"Kategori tidak dikenal"))</f>
        <v/>
      </c>
    </row>
    <row r="565" ht="15" customHeight="1" s="33">
      <c r="A565" s="57">
        <f>IF(B565="","",ROW()-4)</f>
        <v/>
      </c>
      <c r="B565" s="58" t="n"/>
      <c r="C565" s="38" t="n"/>
      <c r="D565" s="38" t="n"/>
      <c r="E565" s="38" t="n"/>
      <c r="F565" s="57">
        <f>IF(E565="","",IFERROR(INDEX(Referensi!$C$5:$C$60,MATCH(E565,Referensi!$A$5:$A$60,0)),"?"))</f>
        <v/>
      </c>
      <c r="G565" s="38" t="n"/>
      <c r="H565" s="59" t="n"/>
      <c r="I565" s="38" t="n"/>
      <c r="J565" s="39" t="n"/>
      <c r="K565" s="60">
        <f>IF(J565="","",SUMIFS(J$5:J565,D$5:D565,"Masuk")-SUMIFS(J$5:J565,D$5:D565,"Keluar"))</f>
        <v/>
      </c>
      <c r="L565" s="38" t="n"/>
      <c r="M565" s="38" t="n"/>
      <c r="N565" s="57">
        <f>IF(E565="","",IFERROR(IF(INDEX(Referensi!$B$5:$B$60,MATCH(E565,Referensi!$A$5:$A$60,0))=D565,"OK","Jenis tidak cocok"),"Kategori tidak dikenal"))</f>
        <v/>
      </c>
    </row>
    <row r="566" ht="15" customHeight="1" s="33">
      <c r="A566" s="57">
        <f>IF(B566="","",ROW()-4)</f>
        <v/>
      </c>
      <c r="B566" s="58" t="n"/>
      <c r="C566" s="38" t="n"/>
      <c r="D566" s="38" t="n"/>
      <c r="E566" s="38" t="n"/>
      <c r="F566" s="57">
        <f>IF(E566="","",IFERROR(INDEX(Referensi!$C$5:$C$60,MATCH(E566,Referensi!$A$5:$A$60,0)),"?"))</f>
        <v/>
      </c>
      <c r="G566" s="38" t="n"/>
      <c r="H566" s="59" t="n"/>
      <c r="I566" s="38" t="n"/>
      <c r="J566" s="39" t="n"/>
      <c r="K566" s="60">
        <f>IF(J566="","",SUMIFS(J$5:J566,D$5:D566,"Masuk")-SUMIFS(J$5:J566,D$5:D566,"Keluar"))</f>
        <v/>
      </c>
      <c r="L566" s="38" t="n"/>
      <c r="M566" s="38" t="n"/>
      <c r="N566" s="57">
        <f>IF(E566="","",IFERROR(IF(INDEX(Referensi!$B$5:$B$60,MATCH(E566,Referensi!$A$5:$A$60,0))=D566,"OK","Jenis tidak cocok"),"Kategori tidak dikenal"))</f>
        <v/>
      </c>
    </row>
    <row r="567" ht="15" customHeight="1" s="33">
      <c r="A567" s="57">
        <f>IF(B567="","",ROW()-4)</f>
        <v/>
      </c>
      <c r="B567" s="58" t="n"/>
      <c r="C567" s="38" t="n"/>
      <c r="D567" s="38" t="n"/>
      <c r="E567" s="38" t="n"/>
      <c r="F567" s="57">
        <f>IF(E567="","",IFERROR(INDEX(Referensi!$C$5:$C$60,MATCH(E567,Referensi!$A$5:$A$60,0)),"?"))</f>
        <v/>
      </c>
      <c r="G567" s="38" t="n"/>
      <c r="H567" s="59" t="n"/>
      <c r="I567" s="38" t="n"/>
      <c r="J567" s="39" t="n"/>
      <c r="K567" s="60">
        <f>IF(J567="","",SUMIFS(J$5:J567,D$5:D567,"Masuk")-SUMIFS(J$5:J567,D$5:D567,"Keluar"))</f>
        <v/>
      </c>
      <c r="L567" s="38" t="n"/>
      <c r="M567" s="38" t="n"/>
      <c r="N567" s="57">
        <f>IF(E567="","",IFERROR(IF(INDEX(Referensi!$B$5:$B$60,MATCH(E567,Referensi!$A$5:$A$60,0))=D567,"OK","Jenis tidak cocok"),"Kategori tidak dikenal"))</f>
        <v/>
      </c>
    </row>
    <row r="568" ht="15" customHeight="1" s="33">
      <c r="A568" s="57">
        <f>IF(B568="","",ROW()-4)</f>
        <v/>
      </c>
      <c r="B568" s="58" t="n"/>
      <c r="C568" s="38" t="n"/>
      <c r="D568" s="38" t="n"/>
      <c r="E568" s="38" t="n"/>
      <c r="F568" s="57">
        <f>IF(E568="","",IFERROR(INDEX(Referensi!$C$5:$C$60,MATCH(E568,Referensi!$A$5:$A$60,0)),"?"))</f>
        <v/>
      </c>
      <c r="G568" s="38" t="n"/>
      <c r="H568" s="59" t="n"/>
      <c r="I568" s="38" t="n"/>
      <c r="J568" s="39" t="n"/>
      <c r="K568" s="60">
        <f>IF(J568="","",SUMIFS(J$5:J568,D$5:D568,"Masuk")-SUMIFS(J$5:J568,D$5:D568,"Keluar"))</f>
        <v/>
      </c>
      <c r="L568" s="38" t="n"/>
      <c r="M568" s="38" t="n"/>
      <c r="N568" s="57">
        <f>IF(E568="","",IFERROR(IF(INDEX(Referensi!$B$5:$B$60,MATCH(E568,Referensi!$A$5:$A$60,0))=D568,"OK","Jenis tidak cocok"),"Kategori tidak dikenal"))</f>
        <v/>
      </c>
    </row>
    <row r="569" ht="15" customHeight="1" s="33">
      <c r="A569" s="57">
        <f>IF(B569="","",ROW()-4)</f>
        <v/>
      </c>
      <c r="B569" s="58" t="n"/>
      <c r="C569" s="38" t="n"/>
      <c r="D569" s="38" t="n"/>
      <c r="E569" s="38" t="n"/>
      <c r="F569" s="57">
        <f>IF(E569="","",IFERROR(INDEX(Referensi!$C$5:$C$60,MATCH(E569,Referensi!$A$5:$A$60,0)),"?"))</f>
        <v/>
      </c>
      <c r="G569" s="38" t="n"/>
      <c r="H569" s="59" t="n"/>
      <c r="I569" s="38" t="n"/>
      <c r="J569" s="39" t="n"/>
      <c r="K569" s="60">
        <f>IF(J569="","",SUMIFS(J$5:J569,D$5:D569,"Masuk")-SUMIFS(J$5:J569,D$5:D569,"Keluar"))</f>
        <v/>
      </c>
      <c r="L569" s="38" t="n"/>
      <c r="M569" s="38" t="n"/>
      <c r="N569" s="57">
        <f>IF(E569="","",IFERROR(IF(INDEX(Referensi!$B$5:$B$60,MATCH(E569,Referensi!$A$5:$A$60,0))=D569,"OK","Jenis tidak cocok"),"Kategori tidak dikenal"))</f>
        <v/>
      </c>
    </row>
    <row r="570" ht="15" customHeight="1" s="33">
      <c r="A570" s="57">
        <f>IF(B570="","",ROW()-4)</f>
        <v/>
      </c>
      <c r="B570" s="58" t="n"/>
      <c r="C570" s="38" t="n"/>
      <c r="D570" s="38" t="n"/>
      <c r="E570" s="38" t="n"/>
      <c r="F570" s="57">
        <f>IF(E570="","",IFERROR(INDEX(Referensi!$C$5:$C$60,MATCH(E570,Referensi!$A$5:$A$60,0)),"?"))</f>
        <v/>
      </c>
      <c r="G570" s="38" t="n"/>
      <c r="H570" s="59" t="n"/>
      <c r="I570" s="38" t="n"/>
      <c r="J570" s="39" t="n"/>
      <c r="K570" s="60">
        <f>IF(J570="","",SUMIFS(J$5:J570,D$5:D570,"Masuk")-SUMIFS(J$5:J570,D$5:D570,"Keluar"))</f>
        <v/>
      </c>
      <c r="L570" s="38" t="n"/>
      <c r="M570" s="38" t="n"/>
      <c r="N570" s="57">
        <f>IF(E570="","",IFERROR(IF(INDEX(Referensi!$B$5:$B$60,MATCH(E570,Referensi!$A$5:$A$60,0))=D570,"OK","Jenis tidak cocok"),"Kategori tidak dikenal"))</f>
        <v/>
      </c>
    </row>
    <row r="571" ht="15" customHeight="1" s="33">
      <c r="A571" s="57">
        <f>IF(B571="","",ROW()-4)</f>
        <v/>
      </c>
      <c r="B571" s="58" t="n"/>
      <c r="C571" s="38" t="n"/>
      <c r="D571" s="38" t="n"/>
      <c r="E571" s="38" t="n"/>
      <c r="F571" s="57">
        <f>IF(E571="","",IFERROR(INDEX(Referensi!$C$5:$C$60,MATCH(E571,Referensi!$A$5:$A$60,0)),"?"))</f>
        <v/>
      </c>
      <c r="G571" s="38" t="n"/>
      <c r="H571" s="59" t="n"/>
      <c r="I571" s="38" t="n"/>
      <c r="J571" s="39" t="n"/>
      <c r="K571" s="60">
        <f>IF(J571="","",SUMIFS(J$5:J571,D$5:D571,"Masuk")-SUMIFS(J$5:J571,D$5:D571,"Keluar"))</f>
        <v/>
      </c>
      <c r="L571" s="38" t="n"/>
      <c r="M571" s="38" t="n"/>
      <c r="N571" s="57">
        <f>IF(E571="","",IFERROR(IF(INDEX(Referensi!$B$5:$B$60,MATCH(E571,Referensi!$A$5:$A$60,0))=D571,"OK","Jenis tidak cocok"),"Kategori tidak dikenal"))</f>
        <v/>
      </c>
    </row>
    <row r="572" ht="15" customHeight="1" s="33">
      <c r="A572" s="57">
        <f>IF(B572="","",ROW()-4)</f>
        <v/>
      </c>
      <c r="B572" s="58" t="n"/>
      <c r="C572" s="38" t="n"/>
      <c r="D572" s="38" t="n"/>
      <c r="E572" s="38" t="n"/>
      <c r="F572" s="57">
        <f>IF(E572="","",IFERROR(INDEX(Referensi!$C$5:$C$60,MATCH(E572,Referensi!$A$5:$A$60,0)),"?"))</f>
        <v/>
      </c>
      <c r="G572" s="38" t="n"/>
      <c r="H572" s="59" t="n"/>
      <c r="I572" s="38" t="n"/>
      <c r="J572" s="39" t="n"/>
      <c r="K572" s="60">
        <f>IF(J572="","",SUMIFS(J$5:J572,D$5:D572,"Masuk")-SUMIFS(J$5:J572,D$5:D572,"Keluar"))</f>
        <v/>
      </c>
      <c r="L572" s="38" t="n"/>
      <c r="M572" s="38" t="n"/>
      <c r="N572" s="57">
        <f>IF(E572="","",IFERROR(IF(INDEX(Referensi!$B$5:$B$60,MATCH(E572,Referensi!$A$5:$A$60,0))=D572,"OK","Jenis tidak cocok"),"Kategori tidak dikenal"))</f>
        <v/>
      </c>
    </row>
    <row r="573" ht="15" customHeight="1" s="33">
      <c r="A573" s="57">
        <f>IF(B573="","",ROW()-4)</f>
        <v/>
      </c>
      <c r="B573" s="58" t="n"/>
      <c r="C573" s="38" t="n"/>
      <c r="D573" s="38" t="n"/>
      <c r="E573" s="38" t="n"/>
      <c r="F573" s="57">
        <f>IF(E573="","",IFERROR(INDEX(Referensi!$C$5:$C$60,MATCH(E573,Referensi!$A$5:$A$60,0)),"?"))</f>
        <v/>
      </c>
      <c r="G573" s="38" t="n"/>
      <c r="H573" s="59" t="n"/>
      <c r="I573" s="38" t="n"/>
      <c r="J573" s="39" t="n"/>
      <c r="K573" s="60">
        <f>IF(J573="","",SUMIFS(J$5:J573,D$5:D573,"Masuk")-SUMIFS(J$5:J573,D$5:D573,"Keluar"))</f>
        <v/>
      </c>
      <c r="L573" s="38" t="n"/>
      <c r="M573" s="38" t="n"/>
      <c r="N573" s="57">
        <f>IF(E573="","",IFERROR(IF(INDEX(Referensi!$B$5:$B$60,MATCH(E573,Referensi!$A$5:$A$60,0))=D573,"OK","Jenis tidak cocok"),"Kategori tidak dikenal"))</f>
        <v/>
      </c>
    </row>
    <row r="574" ht="15" customHeight="1" s="33">
      <c r="A574" s="57">
        <f>IF(B574="","",ROW()-4)</f>
        <v/>
      </c>
      <c r="B574" s="58" t="n"/>
      <c r="C574" s="38" t="n"/>
      <c r="D574" s="38" t="n"/>
      <c r="E574" s="38" t="n"/>
      <c r="F574" s="57">
        <f>IF(E574="","",IFERROR(INDEX(Referensi!$C$5:$C$60,MATCH(E574,Referensi!$A$5:$A$60,0)),"?"))</f>
        <v/>
      </c>
      <c r="G574" s="38" t="n"/>
      <c r="H574" s="59" t="n"/>
      <c r="I574" s="38" t="n"/>
      <c r="J574" s="39" t="n"/>
      <c r="K574" s="60">
        <f>IF(J574="","",SUMIFS(J$5:J574,D$5:D574,"Masuk")-SUMIFS(J$5:J574,D$5:D574,"Keluar"))</f>
        <v/>
      </c>
      <c r="L574" s="38" t="n"/>
      <c r="M574" s="38" t="n"/>
      <c r="N574" s="57">
        <f>IF(E574="","",IFERROR(IF(INDEX(Referensi!$B$5:$B$60,MATCH(E574,Referensi!$A$5:$A$60,0))=D574,"OK","Jenis tidak cocok"),"Kategori tidak dikenal"))</f>
        <v/>
      </c>
    </row>
    <row r="575" ht="15" customHeight="1" s="33">
      <c r="A575" s="57">
        <f>IF(B575="","",ROW()-4)</f>
        <v/>
      </c>
      <c r="B575" s="58" t="n"/>
      <c r="C575" s="38" t="n"/>
      <c r="D575" s="38" t="n"/>
      <c r="E575" s="38" t="n"/>
      <c r="F575" s="57">
        <f>IF(E575="","",IFERROR(INDEX(Referensi!$C$5:$C$60,MATCH(E575,Referensi!$A$5:$A$60,0)),"?"))</f>
        <v/>
      </c>
      <c r="G575" s="38" t="n"/>
      <c r="H575" s="59" t="n"/>
      <c r="I575" s="38" t="n"/>
      <c r="J575" s="39" t="n"/>
      <c r="K575" s="60">
        <f>IF(J575="","",SUMIFS(J$5:J575,D$5:D575,"Masuk")-SUMIFS(J$5:J575,D$5:D575,"Keluar"))</f>
        <v/>
      </c>
      <c r="L575" s="38" t="n"/>
      <c r="M575" s="38" t="n"/>
      <c r="N575" s="57">
        <f>IF(E575="","",IFERROR(IF(INDEX(Referensi!$B$5:$B$60,MATCH(E575,Referensi!$A$5:$A$60,0))=D575,"OK","Jenis tidak cocok"),"Kategori tidak dikenal"))</f>
        <v/>
      </c>
    </row>
    <row r="576" ht="15" customHeight="1" s="33">
      <c r="A576" s="57">
        <f>IF(B576="","",ROW()-4)</f>
        <v/>
      </c>
      <c r="B576" s="58" t="n"/>
      <c r="C576" s="38" t="n"/>
      <c r="D576" s="38" t="n"/>
      <c r="E576" s="38" t="n"/>
      <c r="F576" s="57">
        <f>IF(E576="","",IFERROR(INDEX(Referensi!$C$5:$C$60,MATCH(E576,Referensi!$A$5:$A$60,0)),"?"))</f>
        <v/>
      </c>
      <c r="G576" s="38" t="n"/>
      <c r="H576" s="59" t="n"/>
      <c r="I576" s="38" t="n"/>
      <c r="J576" s="39" t="n"/>
      <c r="K576" s="60">
        <f>IF(J576="","",SUMIFS(J$5:J576,D$5:D576,"Masuk")-SUMIFS(J$5:J576,D$5:D576,"Keluar"))</f>
        <v/>
      </c>
      <c r="L576" s="38" t="n"/>
      <c r="M576" s="38" t="n"/>
      <c r="N576" s="57">
        <f>IF(E576="","",IFERROR(IF(INDEX(Referensi!$B$5:$B$60,MATCH(E576,Referensi!$A$5:$A$60,0))=D576,"OK","Jenis tidak cocok"),"Kategori tidak dikenal"))</f>
        <v/>
      </c>
    </row>
    <row r="577" ht="15" customHeight="1" s="33">
      <c r="A577" s="57">
        <f>IF(B577="","",ROW()-4)</f>
        <v/>
      </c>
      <c r="B577" s="58" t="n"/>
      <c r="C577" s="38" t="n"/>
      <c r="D577" s="38" t="n"/>
      <c r="E577" s="38" t="n"/>
      <c r="F577" s="57">
        <f>IF(E577="","",IFERROR(INDEX(Referensi!$C$5:$C$60,MATCH(E577,Referensi!$A$5:$A$60,0)),"?"))</f>
        <v/>
      </c>
      <c r="G577" s="38" t="n"/>
      <c r="H577" s="59" t="n"/>
      <c r="I577" s="38" t="n"/>
      <c r="J577" s="39" t="n"/>
      <c r="K577" s="60">
        <f>IF(J577="","",SUMIFS(J$5:J577,D$5:D577,"Masuk")-SUMIFS(J$5:J577,D$5:D577,"Keluar"))</f>
        <v/>
      </c>
      <c r="L577" s="38" t="n"/>
      <c r="M577" s="38" t="n"/>
      <c r="N577" s="57">
        <f>IF(E577="","",IFERROR(IF(INDEX(Referensi!$B$5:$B$60,MATCH(E577,Referensi!$A$5:$A$60,0))=D577,"OK","Jenis tidak cocok"),"Kategori tidak dikenal"))</f>
        <v/>
      </c>
    </row>
    <row r="578" ht="15" customHeight="1" s="33">
      <c r="A578" s="57">
        <f>IF(B578="","",ROW()-4)</f>
        <v/>
      </c>
      <c r="B578" s="58" t="n"/>
      <c r="C578" s="38" t="n"/>
      <c r="D578" s="38" t="n"/>
      <c r="E578" s="38" t="n"/>
      <c r="F578" s="57">
        <f>IF(E578="","",IFERROR(INDEX(Referensi!$C$5:$C$60,MATCH(E578,Referensi!$A$5:$A$60,0)),"?"))</f>
        <v/>
      </c>
      <c r="G578" s="38" t="n"/>
      <c r="H578" s="59" t="n"/>
      <c r="I578" s="38" t="n"/>
      <c r="J578" s="39" t="n"/>
      <c r="K578" s="60">
        <f>IF(J578="","",SUMIFS(J$5:J578,D$5:D578,"Masuk")-SUMIFS(J$5:J578,D$5:D578,"Keluar"))</f>
        <v/>
      </c>
      <c r="L578" s="38" t="n"/>
      <c r="M578" s="38" t="n"/>
      <c r="N578" s="57">
        <f>IF(E578="","",IFERROR(IF(INDEX(Referensi!$B$5:$B$60,MATCH(E578,Referensi!$A$5:$A$60,0))=D578,"OK","Jenis tidak cocok"),"Kategori tidak dikenal"))</f>
        <v/>
      </c>
    </row>
    <row r="579" ht="15" customHeight="1" s="33">
      <c r="A579" s="57">
        <f>IF(B579="","",ROW()-4)</f>
        <v/>
      </c>
      <c r="B579" s="58" t="n"/>
      <c r="C579" s="38" t="n"/>
      <c r="D579" s="38" t="n"/>
      <c r="E579" s="38" t="n"/>
      <c r="F579" s="57">
        <f>IF(E579="","",IFERROR(INDEX(Referensi!$C$5:$C$60,MATCH(E579,Referensi!$A$5:$A$60,0)),"?"))</f>
        <v/>
      </c>
      <c r="G579" s="38" t="n"/>
      <c r="H579" s="59" t="n"/>
      <c r="I579" s="38" t="n"/>
      <c r="J579" s="39" t="n"/>
      <c r="K579" s="60">
        <f>IF(J579="","",SUMIFS(J$5:J579,D$5:D579,"Masuk")-SUMIFS(J$5:J579,D$5:D579,"Keluar"))</f>
        <v/>
      </c>
      <c r="L579" s="38" t="n"/>
      <c r="M579" s="38" t="n"/>
      <c r="N579" s="57">
        <f>IF(E579="","",IFERROR(IF(INDEX(Referensi!$B$5:$B$60,MATCH(E579,Referensi!$A$5:$A$60,0))=D579,"OK","Jenis tidak cocok"),"Kategori tidak dikenal"))</f>
        <v/>
      </c>
    </row>
    <row r="580" ht="15" customHeight="1" s="33">
      <c r="A580" s="57">
        <f>IF(B580="","",ROW()-4)</f>
        <v/>
      </c>
      <c r="B580" s="58" t="n"/>
      <c r="C580" s="38" t="n"/>
      <c r="D580" s="38" t="n"/>
      <c r="E580" s="38" t="n"/>
      <c r="F580" s="57">
        <f>IF(E580="","",IFERROR(INDEX(Referensi!$C$5:$C$60,MATCH(E580,Referensi!$A$5:$A$60,0)),"?"))</f>
        <v/>
      </c>
      <c r="G580" s="38" t="n"/>
      <c r="H580" s="59" t="n"/>
      <c r="I580" s="38" t="n"/>
      <c r="J580" s="39" t="n"/>
      <c r="K580" s="60">
        <f>IF(J580="","",SUMIFS(J$5:J580,D$5:D580,"Masuk")-SUMIFS(J$5:J580,D$5:D580,"Keluar"))</f>
        <v/>
      </c>
      <c r="L580" s="38" t="n"/>
      <c r="M580" s="38" t="n"/>
      <c r="N580" s="57">
        <f>IF(E580="","",IFERROR(IF(INDEX(Referensi!$B$5:$B$60,MATCH(E580,Referensi!$A$5:$A$60,0))=D580,"OK","Jenis tidak cocok"),"Kategori tidak dikenal"))</f>
        <v/>
      </c>
    </row>
    <row r="581" ht="15" customHeight="1" s="33">
      <c r="A581" s="57">
        <f>IF(B581="","",ROW()-4)</f>
        <v/>
      </c>
      <c r="B581" s="58" t="n"/>
      <c r="C581" s="38" t="n"/>
      <c r="D581" s="38" t="n"/>
      <c r="E581" s="38" t="n"/>
      <c r="F581" s="57">
        <f>IF(E581="","",IFERROR(INDEX(Referensi!$C$5:$C$60,MATCH(E581,Referensi!$A$5:$A$60,0)),"?"))</f>
        <v/>
      </c>
      <c r="G581" s="38" t="n"/>
      <c r="H581" s="59" t="n"/>
      <c r="I581" s="38" t="n"/>
      <c r="J581" s="39" t="n"/>
      <c r="K581" s="60">
        <f>IF(J581="","",SUMIFS(J$5:J581,D$5:D581,"Masuk")-SUMIFS(J$5:J581,D$5:D581,"Keluar"))</f>
        <v/>
      </c>
      <c r="L581" s="38" t="n"/>
      <c r="M581" s="38" t="n"/>
      <c r="N581" s="57">
        <f>IF(E581="","",IFERROR(IF(INDEX(Referensi!$B$5:$B$60,MATCH(E581,Referensi!$A$5:$A$60,0))=D581,"OK","Jenis tidak cocok"),"Kategori tidak dikenal"))</f>
        <v/>
      </c>
    </row>
    <row r="582" ht="15" customHeight="1" s="33">
      <c r="A582" s="57">
        <f>IF(B582="","",ROW()-4)</f>
        <v/>
      </c>
      <c r="B582" s="58" t="n"/>
      <c r="C582" s="38" t="n"/>
      <c r="D582" s="38" t="n"/>
      <c r="E582" s="38" t="n"/>
      <c r="F582" s="57">
        <f>IF(E582="","",IFERROR(INDEX(Referensi!$C$5:$C$60,MATCH(E582,Referensi!$A$5:$A$60,0)),"?"))</f>
        <v/>
      </c>
      <c r="G582" s="38" t="n"/>
      <c r="H582" s="59" t="n"/>
      <c r="I582" s="38" t="n"/>
      <c r="J582" s="39" t="n"/>
      <c r="K582" s="60">
        <f>IF(J582="","",SUMIFS(J$5:J582,D$5:D582,"Masuk")-SUMIFS(J$5:J582,D$5:D582,"Keluar"))</f>
        <v/>
      </c>
      <c r="L582" s="38" t="n"/>
      <c r="M582" s="38" t="n"/>
      <c r="N582" s="57">
        <f>IF(E582="","",IFERROR(IF(INDEX(Referensi!$B$5:$B$60,MATCH(E582,Referensi!$A$5:$A$60,0))=D582,"OK","Jenis tidak cocok"),"Kategori tidak dikenal"))</f>
        <v/>
      </c>
    </row>
    <row r="583" ht="15" customHeight="1" s="33">
      <c r="A583" s="57">
        <f>IF(B583="","",ROW()-4)</f>
        <v/>
      </c>
      <c r="B583" s="58" t="n"/>
      <c r="C583" s="38" t="n"/>
      <c r="D583" s="38" t="n"/>
      <c r="E583" s="38" t="n"/>
      <c r="F583" s="57">
        <f>IF(E583="","",IFERROR(INDEX(Referensi!$C$5:$C$60,MATCH(E583,Referensi!$A$5:$A$60,0)),"?"))</f>
        <v/>
      </c>
      <c r="G583" s="38" t="n"/>
      <c r="H583" s="59" t="n"/>
      <c r="I583" s="38" t="n"/>
      <c r="J583" s="39" t="n"/>
      <c r="K583" s="60">
        <f>IF(J583="","",SUMIFS(J$5:J583,D$5:D583,"Masuk")-SUMIFS(J$5:J583,D$5:D583,"Keluar"))</f>
        <v/>
      </c>
      <c r="L583" s="38" t="n"/>
      <c r="M583" s="38" t="n"/>
      <c r="N583" s="57">
        <f>IF(E583="","",IFERROR(IF(INDEX(Referensi!$B$5:$B$60,MATCH(E583,Referensi!$A$5:$A$60,0))=D583,"OK","Jenis tidak cocok"),"Kategori tidak dikenal"))</f>
        <v/>
      </c>
    </row>
    <row r="584" ht="15" customHeight="1" s="33">
      <c r="A584" s="57">
        <f>IF(B584="","",ROW()-4)</f>
        <v/>
      </c>
      <c r="B584" s="58" t="n"/>
      <c r="C584" s="38" t="n"/>
      <c r="D584" s="38" t="n"/>
      <c r="E584" s="38" t="n"/>
      <c r="F584" s="57">
        <f>IF(E584="","",IFERROR(INDEX(Referensi!$C$5:$C$60,MATCH(E584,Referensi!$A$5:$A$60,0)),"?"))</f>
        <v/>
      </c>
      <c r="G584" s="38" t="n"/>
      <c r="H584" s="59" t="n"/>
      <c r="I584" s="38" t="n"/>
      <c r="J584" s="39" t="n"/>
      <c r="K584" s="60">
        <f>IF(J584="","",SUMIFS(J$5:J584,D$5:D584,"Masuk")-SUMIFS(J$5:J584,D$5:D584,"Keluar"))</f>
        <v/>
      </c>
      <c r="L584" s="38" t="n"/>
      <c r="M584" s="38" t="n"/>
      <c r="N584" s="57">
        <f>IF(E584="","",IFERROR(IF(INDEX(Referensi!$B$5:$B$60,MATCH(E584,Referensi!$A$5:$A$60,0))=D584,"OK","Jenis tidak cocok"),"Kategori tidak dikenal"))</f>
        <v/>
      </c>
    </row>
    <row r="585" ht="15" customHeight="1" s="33">
      <c r="A585" s="57">
        <f>IF(B585="","",ROW()-4)</f>
        <v/>
      </c>
      <c r="B585" s="58" t="n"/>
      <c r="C585" s="38" t="n"/>
      <c r="D585" s="38" t="n"/>
      <c r="E585" s="38" t="n"/>
      <c r="F585" s="57">
        <f>IF(E585="","",IFERROR(INDEX(Referensi!$C$5:$C$60,MATCH(E585,Referensi!$A$5:$A$60,0)),"?"))</f>
        <v/>
      </c>
      <c r="G585" s="38" t="n"/>
      <c r="H585" s="59" t="n"/>
      <c r="I585" s="38" t="n"/>
      <c r="J585" s="39" t="n"/>
      <c r="K585" s="60">
        <f>IF(J585="","",SUMIFS(J$5:J585,D$5:D585,"Masuk")-SUMIFS(J$5:J585,D$5:D585,"Keluar"))</f>
        <v/>
      </c>
      <c r="L585" s="38" t="n"/>
      <c r="M585" s="38" t="n"/>
      <c r="N585" s="57">
        <f>IF(E585="","",IFERROR(IF(INDEX(Referensi!$B$5:$B$60,MATCH(E585,Referensi!$A$5:$A$60,0))=D585,"OK","Jenis tidak cocok"),"Kategori tidak dikenal"))</f>
        <v/>
      </c>
    </row>
    <row r="586" ht="15" customHeight="1" s="33">
      <c r="A586" s="57">
        <f>IF(B586="","",ROW()-4)</f>
        <v/>
      </c>
      <c r="B586" s="58" t="n"/>
      <c r="C586" s="38" t="n"/>
      <c r="D586" s="38" t="n"/>
      <c r="E586" s="38" t="n"/>
      <c r="F586" s="57">
        <f>IF(E586="","",IFERROR(INDEX(Referensi!$C$5:$C$60,MATCH(E586,Referensi!$A$5:$A$60,0)),"?"))</f>
        <v/>
      </c>
      <c r="G586" s="38" t="n"/>
      <c r="H586" s="59" t="n"/>
      <c r="I586" s="38" t="n"/>
      <c r="J586" s="39" t="n"/>
      <c r="K586" s="60">
        <f>IF(J586="","",SUMIFS(J$5:J586,D$5:D586,"Masuk")-SUMIFS(J$5:J586,D$5:D586,"Keluar"))</f>
        <v/>
      </c>
      <c r="L586" s="38" t="n"/>
      <c r="M586" s="38" t="n"/>
      <c r="N586" s="57">
        <f>IF(E586="","",IFERROR(IF(INDEX(Referensi!$B$5:$B$60,MATCH(E586,Referensi!$A$5:$A$60,0))=D586,"OK","Jenis tidak cocok"),"Kategori tidak dikenal"))</f>
        <v/>
      </c>
    </row>
    <row r="587" ht="15" customHeight="1" s="33">
      <c r="A587" s="57">
        <f>IF(B587="","",ROW()-4)</f>
        <v/>
      </c>
      <c r="B587" s="58" t="n"/>
      <c r="C587" s="38" t="n"/>
      <c r="D587" s="38" t="n"/>
      <c r="E587" s="38" t="n"/>
      <c r="F587" s="57">
        <f>IF(E587="","",IFERROR(INDEX(Referensi!$C$5:$C$60,MATCH(E587,Referensi!$A$5:$A$60,0)),"?"))</f>
        <v/>
      </c>
      <c r="G587" s="38" t="n"/>
      <c r="H587" s="59" t="n"/>
      <c r="I587" s="38" t="n"/>
      <c r="J587" s="39" t="n"/>
      <c r="K587" s="60">
        <f>IF(J587="","",SUMIFS(J$5:J587,D$5:D587,"Masuk")-SUMIFS(J$5:J587,D$5:D587,"Keluar"))</f>
        <v/>
      </c>
      <c r="L587" s="38" t="n"/>
      <c r="M587" s="38" t="n"/>
      <c r="N587" s="57">
        <f>IF(E587="","",IFERROR(IF(INDEX(Referensi!$B$5:$B$60,MATCH(E587,Referensi!$A$5:$A$60,0))=D587,"OK","Jenis tidak cocok"),"Kategori tidak dikenal"))</f>
        <v/>
      </c>
    </row>
    <row r="588" ht="15" customHeight="1" s="33">
      <c r="A588" s="57">
        <f>IF(B588="","",ROW()-4)</f>
        <v/>
      </c>
      <c r="B588" s="58" t="n"/>
      <c r="C588" s="38" t="n"/>
      <c r="D588" s="38" t="n"/>
      <c r="E588" s="38" t="n"/>
      <c r="F588" s="57">
        <f>IF(E588="","",IFERROR(INDEX(Referensi!$C$5:$C$60,MATCH(E588,Referensi!$A$5:$A$60,0)),"?"))</f>
        <v/>
      </c>
      <c r="G588" s="38" t="n"/>
      <c r="H588" s="59" t="n"/>
      <c r="I588" s="38" t="n"/>
      <c r="J588" s="39" t="n"/>
      <c r="K588" s="60">
        <f>IF(J588="","",SUMIFS(J$5:J588,D$5:D588,"Masuk")-SUMIFS(J$5:J588,D$5:D588,"Keluar"))</f>
        <v/>
      </c>
      <c r="L588" s="38" t="n"/>
      <c r="M588" s="38" t="n"/>
      <c r="N588" s="57">
        <f>IF(E588="","",IFERROR(IF(INDEX(Referensi!$B$5:$B$60,MATCH(E588,Referensi!$A$5:$A$60,0))=D588,"OK","Jenis tidak cocok"),"Kategori tidak dikenal"))</f>
        <v/>
      </c>
    </row>
    <row r="589" ht="15" customHeight="1" s="33">
      <c r="A589" s="57">
        <f>IF(B589="","",ROW()-4)</f>
        <v/>
      </c>
      <c r="B589" s="58" t="n"/>
      <c r="C589" s="38" t="n"/>
      <c r="D589" s="38" t="n"/>
      <c r="E589" s="38" t="n"/>
      <c r="F589" s="57">
        <f>IF(E589="","",IFERROR(INDEX(Referensi!$C$5:$C$60,MATCH(E589,Referensi!$A$5:$A$60,0)),"?"))</f>
        <v/>
      </c>
      <c r="G589" s="38" t="n"/>
      <c r="H589" s="59" t="n"/>
      <c r="I589" s="38" t="n"/>
      <c r="J589" s="39" t="n"/>
      <c r="K589" s="60">
        <f>IF(J589="","",SUMIFS(J$5:J589,D$5:D589,"Masuk")-SUMIFS(J$5:J589,D$5:D589,"Keluar"))</f>
        <v/>
      </c>
      <c r="L589" s="38" t="n"/>
      <c r="M589" s="38" t="n"/>
      <c r="N589" s="57">
        <f>IF(E589="","",IFERROR(IF(INDEX(Referensi!$B$5:$B$60,MATCH(E589,Referensi!$A$5:$A$60,0))=D589,"OK","Jenis tidak cocok"),"Kategori tidak dikenal"))</f>
        <v/>
      </c>
    </row>
    <row r="590" ht="15" customHeight="1" s="33">
      <c r="A590" s="57">
        <f>IF(B590="","",ROW()-4)</f>
        <v/>
      </c>
      <c r="B590" s="58" t="n"/>
      <c r="C590" s="38" t="n"/>
      <c r="D590" s="38" t="n"/>
      <c r="E590" s="38" t="n"/>
      <c r="F590" s="57">
        <f>IF(E590="","",IFERROR(INDEX(Referensi!$C$5:$C$60,MATCH(E590,Referensi!$A$5:$A$60,0)),"?"))</f>
        <v/>
      </c>
      <c r="G590" s="38" t="n"/>
      <c r="H590" s="59" t="n"/>
      <c r="I590" s="38" t="n"/>
      <c r="J590" s="39" t="n"/>
      <c r="K590" s="60">
        <f>IF(J590="","",SUMIFS(J$5:J590,D$5:D590,"Masuk")-SUMIFS(J$5:J590,D$5:D590,"Keluar"))</f>
        <v/>
      </c>
      <c r="L590" s="38" t="n"/>
      <c r="M590" s="38" t="n"/>
      <c r="N590" s="57">
        <f>IF(E590="","",IFERROR(IF(INDEX(Referensi!$B$5:$B$60,MATCH(E590,Referensi!$A$5:$A$60,0))=D590,"OK","Jenis tidak cocok"),"Kategori tidak dikenal"))</f>
        <v/>
      </c>
    </row>
    <row r="591" ht="15" customHeight="1" s="33">
      <c r="A591" s="57">
        <f>IF(B591="","",ROW()-4)</f>
        <v/>
      </c>
      <c r="B591" s="58" t="n"/>
      <c r="C591" s="38" t="n"/>
      <c r="D591" s="38" t="n"/>
      <c r="E591" s="38" t="n"/>
      <c r="F591" s="57">
        <f>IF(E591="","",IFERROR(INDEX(Referensi!$C$5:$C$60,MATCH(E591,Referensi!$A$5:$A$60,0)),"?"))</f>
        <v/>
      </c>
      <c r="G591" s="38" t="n"/>
      <c r="H591" s="59" t="n"/>
      <c r="I591" s="38" t="n"/>
      <c r="J591" s="39" t="n"/>
      <c r="K591" s="60">
        <f>IF(J591="","",SUMIFS(J$5:J591,D$5:D591,"Masuk")-SUMIFS(J$5:J591,D$5:D591,"Keluar"))</f>
        <v/>
      </c>
      <c r="L591" s="38" t="n"/>
      <c r="M591" s="38" t="n"/>
      <c r="N591" s="57">
        <f>IF(E591="","",IFERROR(IF(INDEX(Referensi!$B$5:$B$60,MATCH(E591,Referensi!$A$5:$A$60,0))=D591,"OK","Jenis tidak cocok"),"Kategori tidak dikenal"))</f>
        <v/>
      </c>
    </row>
    <row r="592" ht="15" customHeight="1" s="33">
      <c r="A592" s="57">
        <f>IF(B592="","",ROW()-4)</f>
        <v/>
      </c>
      <c r="B592" s="58" t="n"/>
      <c r="C592" s="38" t="n"/>
      <c r="D592" s="38" t="n"/>
      <c r="E592" s="38" t="n"/>
      <c r="F592" s="57">
        <f>IF(E592="","",IFERROR(INDEX(Referensi!$C$5:$C$60,MATCH(E592,Referensi!$A$5:$A$60,0)),"?"))</f>
        <v/>
      </c>
      <c r="G592" s="38" t="n"/>
      <c r="H592" s="59" t="n"/>
      <c r="I592" s="38" t="n"/>
      <c r="J592" s="39" t="n"/>
      <c r="K592" s="60">
        <f>IF(J592="","",SUMIFS(J$5:J592,D$5:D592,"Masuk")-SUMIFS(J$5:J592,D$5:D592,"Keluar"))</f>
        <v/>
      </c>
      <c r="L592" s="38" t="n"/>
      <c r="M592" s="38" t="n"/>
      <c r="N592" s="57">
        <f>IF(E592="","",IFERROR(IF(INDEX(Referensi!$B$5:$B$60,MATCH(E592,Referensi!$A$5:$A$60,0))=D592,"OK","Jenis tidak cocok"),"Kategori tidak dikenal"))</f>
        <v/>
      </c>
    </row>
    <row r="593" ht="15" customHeight="1" s="33">
      <c r="A593" s="57">
        <f>IF(B593="","",ROW()-4)</f>
        <v/>
      </c>
      <c r="B593" s="58" t="n"/>
      <c r="C593" s="38" t="n"/>
      <c r="D593" s="38" t="n"/>
      <c r="E593" s="38" t="n"/>
      <c r="F593" s="57">
        <f>IF(E593="","",IFERROR(INDEX(Referensi!$C$5:$C$60,MATCH(E593,Referensi!$A$5:$A$60,0)),"?"))</f>
        <v/>
      </c>
      <c r="G593" s="38" t="n"/>
      <c r="H593" s="59" t="n"/>
      <c r="I593" s="38" t="n"/>
      <c r="J593" s="39" t="n"/>
      <c r="K593" s="60">
        <f>IF(J593="","",SUMIFS(J$5:J593,D$5:D593,"Masuk")-SUMIFS(J$5:J593,D$5:D593,"Keluar"))</f>
        <v/>
      </c>
      <c r="L593" s="38" t="n"/>
      <c r="M593" s="38" t="n"/>
      <c r="N593" s="57">
        <f>IF(E593="","",IFERROR(IF(INDEX(Referensi!$B$5:$B$60,MATCH(E593,Referensi!$A$5:$A$60,0))=D593,"OK","Jenis tidak cocok"),"Kategori tidak dikenal"))</f>
        <v/>
      </c>
    </row>
    <row r="594" ht="15" customHeight="1" s="33">
      <c r="A594" s="57">
        <f>IF(B594="","",ROW()-4)</f>
        <v/>
      </c>
      <c r="B594" s="58" t="n"/>
      <c r="C594" s="38" t="n"/>
      <c r="D594" s="38" t="n"/>
      <c r="E594" s="38" t="n"/>
      <c r="F594" s="57">
        <f>IF(E594="","",IFERROR(INDEX(Referensi!$C$5:$C$60,MATCH(E594,Referensi!$A$5:$A$60,0)),"?"))</f>
        <v/>
      </c>
      <c r="G594" s="38" t="n"/>
      <c r="H594" s="59" t="n"/>
      <c r="I594" s="38" t="n"/>
      <c r="J594" s="39" t="n"/>
      <c r="K594" s="60">
        <f>IF(J594="","",SUMIFS(J$5:J594,D$5:D594,"Masuk")-SUMIFS(J$5:J594,D$5:D594,"Keluar"))</f>
        <v/>
      </c>
      <c r="L594" s="38" t="n"/>
      <c r="M594" s="38" t="n"/>
      <c r="N594" s="57">
        <f>IF(E594="","",IFERROR(IF(INDEX(Referensi!$B$5:$B$60,MATCH(E594,Referensi!$A$5:$A$60,0))=D594,"OK","Jenis tidak cocok"),"Kategori tidak dikenal"))</f>
        <v/>
      </c>
    </row>
    <row r="595" ht="15" customHeight="1" s="33">
      <c r="A595" s="57">
        <f>IF(B595="","",ROW()-4)</f>
        <v/>
      </c>
      <c r="B595" s="58" t="n"/>
      <c r="C595" s="38" t="n"/>
      <c r="D595" s="38" t="n"/>
      <c r="E595" s="38" t="n"/>
      <c r="F595" s="57">
        <f>IF(E595="","",IFERROR(INDEX(Referensi!$C$5:$C$60,MATCH(E595,Referensi!$A$5:$A$60,0)),"?"))</f>
        <v/>
      </c>
      <c r="G595" s="38" t="n"/>
      <c r="H595" s="59" t="n"/>
      <c r="I595" s="38" t="n"/>
      <c r="J595" s="39" t="n"/>
      <c r="K595" s="60">
        <f>IF(J595="","",SUMIFS(J$5:J595,D$5:D595,"Masuk")-SUMIFS(J$5:J595,D$5:D595,"Keluar"))</f>
        <v/>
      </c>
      <c r="L595" s="38" t="n"/>
      <c r="M595" s="38" t="n"/>
      <c r="N595" s="57">
        <f>IF(E595="","",IFERROR(IF(INDEX(Referensi!$B$5:$B$60,MATCH(E595,Referensi!$A$5:$A$60,0))=D595,"OK","Jenis tidak cocok"),"Kategori tidak dikenal"))</f>
        <v/>
      </c>
    </row>
    <row r="596" ht="15" customHeight="1" s="33">
      <c r="A596" s="57">
        <f>IF(B596="","",ROW()-4)</f>
        <v/>
      </c>
      <c r="B596" s="58" t="n"/>
      <c r="C596" s="38" t="n"/>
      <c r="D596" s="38" t="n"/>
      <c r="E596" s="38" t="n"/>
      <c r="F596" s="57">
        <f>IF(E596="","",IFERROR(INDEX(Referensi!$C$5:$C$60,MATCH(E596,Referensi!$A$5:$A$60,0)),"?"))</f>
        <v/>
      </c>
      <c r="G596" s="38" t="n"/>
      <c r="H596" s="59" t="n"/>
      <c r="I596" s="38" t="n"/>
      <c r="J596" s="39" t="n"/>
      <c r="K596" s="60">
        <f>IF(J596="","",SUMIFS(J$5:J596,D$5:D596,"Masuk")-SUMIFS(J$5:J596,D$5:D596,"Keluar"))</f>
        <v/>
      </c>
      <c r="L596" s="38" t="n"/>
      <c r="M596" s="38" t="n"/>
      <c r="N596" s="57">
        <f>IF(E596="","",IFERROR(IF(INDEX(Referensi!$B$5:$B$60,MATCH(E596,Referensi!$A$5:$A$60,0))=D596,"OK","Jenis tidak cocok"),"Kategori tidak dikenal"))</f>
        <v/>
      </c>
    </row>
    <row r="597" ht="15" customHeight="1" s="33">
      <c r="A597" s="57">
        <f>IF(B597="","",ROW()-4)</f>
        <v/>
      </c>
      <c r="B597" s="58" t="n"/>
      <c r="C597" s="38" t="n"/>
      <c r="D597" s="38" t="n"/>
      <c r="E597" s="38" t="n"/>
      <c r="F597" s="57">
        <f>IF(E597="","",IFERROR(INDEX(Referensi!$C$5:$C$60,MATCH(E597,Referensi!$A$5:$A$60,0)),"?"))</f>
        <v/>
      </c>
      <c r="G597" s="38" t="n"/>
      <c r="H597" s="59" t="n"/>
      <c r="I597" s="38" t="n"/>
      <c r="J597" s="39" t="n"/>
      <c r="K597" s="60">
        <f>IF(J597="","",SUMIFS(J$5:J597,D$5:D597,"Masuk")-SUMIFS(J$5:J597,D$5:D597,"Keluar"))</f>
        <v/>
      </c>
      <c r="L597" s="38" t="n"/>
      <c r="M597" s="38" t="n"/>
      <c r="N597" s="57">
        <f>IF(E597="","",IFERROR(IF(INDEX(Referensi!$B$5:$B$60,MATCH(E597,Referensi!$A$5:$A$60,0))=D597,"OK","Jenis tidak cocok"),"Kategori tidak dikenal"))</f>
        <v/>
      </c>
    </row>
    <row r="598" ht="15" customHeight="1" s="33">
      <c r="A598" s="57">
        <f>IF(B598="","",ROW()-4)</f>
        <v/>
      </c>
      <c r="B598" s="58" t="n"/>
      <c r="C598" s="38" t="n"/>
      <c r="D598" s="38" t="n"/>
      <c r="E598" s="38" t="n"/>
      <c r="F598" s="57">
        <f>IF(E598="","",IFERROR(INDEX(Referensi!$C$5:$C$60,MATCH(E598,Referensi!$A$5:$A$60,0)),"?"))</f>
        <v/>
      </c>
      <c r="G598" s="38" t="n"/>
      <c r="H598" s="59" t="n"/>
      <c r="I598" s="38" t="n"/>
      <c r="J598" s="39" t="n"/>
      <c r="K598" s="60">
        <f>IF(J598="","",SUMIFS(J$5:J598,D$5:D598,"Masuk")-SUMIFS(J$5:J598,D$5:D598,"Keluar"))</f>
        <v/>
      </c>
      <c r="L598" s="38" t="n"/>
      <c r="M598" s="38" t="n"/>
      <c r="N598" s="57">
        <f>IF(E598="","",IFERROR(IF(INDEX(Referensi!$B$5:$B$60,MATCH(E598,Referensi!$A$5:$A$60,0))=D598,"OK","Jenis tidak cocok"),"Kategori tidak dikenal"))</f>
        <v/>
      </c>
    </row>
    <row r="599" ht="15" customHeight="1" s="33">
      <c r="A599" s="57">
        <f>IF(B599="","",ROW()-4)</f>
        <v/>
      </c>
      <c r="B599" s="58" t="n"/>
      <c r="C599" s="38" t="n"/>
      <c r="D599" s="38" t="n"/>
      <c r="E599" s="38" t="n"/>
      <c r="F599" s="57">
        <f>IF(E599="","",IFERROR(INDEX(Referensi!$C$5:$C$60,MATCH(E599,Referensi!$A$5:$A$60,0)),"?"))</f>
        <v/>
      </c>
      <c r="G599" s="38" t="n"/>
      <c r="H599" s="59" t="n"/>
      <c r="I599" s="38" t="n"/>
      <c r="J599" s="39" t="n"/>
      <c r="K599" s="60">
        <f>IF(J599="","",SUMIFS(J$5:J599,D$5:D599,"Masuk")-SUMIFS(J$5:J599,D$5:D599,"Keluar"))</f>
        <v/>
      </c>
      <c r="L599" s="38" t="n"/>
      <c r="M599" s="38" t="n"/>
      <c r="N599" s="57">
        <f>IF(E599="","",IFERROR(IF(INDEX(Referensi!$B$5:$B$60,MATCH(E599,Referensi!$A$5:$A$60,0))=D599,"OK","Jenis tidak cocok"),"Kategori tidak dikenal"))</f>
        <v/>
      </c>
    </row>
    <row r="600" ht="15" customHeight="1" s="33">
      <c r="A600" s="57">
        <f>IF(B600="","",ROW()-4)</f>
        <v/>
      </c>
      <c r="B600" s="58" t="n"/>
      <c r="C600" s="38" t="n"/>
      <c r="D600" s="38" t="n"/>
      <c r="E600" s="38" t="n"/>
      <c r="F600" s="57">
        <f>IF(E600="","",IFERROR(INDEX(Referensi!$C$5:$C$60,MATCH(E600,Referensi!$A$5:$A$60,0)),"?"))</f>
        <v/>
      </c>
      <c r="G600" s="38" t="n"/>
      <c r="H600" s="59" t="n"/>
      <c r="I600" s="38" t="n"/>
      <c r="J600" s="39" t="n"/>
      <c r="K600" s="60">
        <f>IF(J600="","",SUMIFS(J$5:J600,D$5:D600,"Masuk")-SUMIFS(J$5:J600,D$5:D600,"Keluar"))</f>
        <v/>
      </c>
      <c r="L600" s="38" t="n"/>
      <c r="M600" s="38" t="n"/>
      <c r="N600" s="57">
        <f>IF(E600="","",IFERROR(IF(INDEX(Referensi!$B$5:$B$60,MATCH(E600,Referensi!$A$5:$A$60,0))=D600,"OK","Jenis tidak cocok"),"Kategori tidak dikenal"))</f>
        <v/>
      </c>
    </row>
    <row r="601" ht="15" customHeight="1" s="33">
      <c r="A601" s="57">
        <f>IF(B601="","",ROW()-4)</f>
        <v/>
      </c>
      <c r="B601" s="58" t="n"/>
      <c r="C601" s="38" t="n"/>
      <c r="D601" s="38" t="n"/>
      <c r="E601" s="38" t="n"/>
      <c r="F601" s="57">
        <f>IF(E601="","",IFERROR(INDEX(Referensi!$C$5:$C$60,MATCH(E601,Referensi!$A$5:$A$60,0)),"?"))</f>
        <v/>
      </c>
      <c r="G601" s="38" t="n"/>
      <c r="H601" s="59" t="n"/>
      <c r="I601" s="38" t="n"/>
      <c r="J601" s="39" t="n"/>
      <c r="K601" s="60">
        <f>IF(J601="","",SUMIFS(J$5:J601,D$5:D601,"Masuk")-SUMIFS(J$5:J601,D$5:D601,"Keluar"))</f>
        <v/>
      </c>
      <c r="L601" s="38" t="n"/>
      <c r="M601" s="38" t="n"/>
      <c r="N601" s="57">
        <f>IF(E601="","",IFERROR(IF(INDEX(Referensi!$B$5:$B$60,MATCH(E601,Referensi!$A$5:$A$60,0))=D601,"OK","Jenis tidak cocok"),"Kategori tidak dikenal"))</f>
        <v/>
      </c>
    </row>
    <row r="602" ht="15" customHeight="1" s="33">
      <c r="A602" s="57">
        <f>IF(B602="","",ROW()-4)</f>
        <v/>
      </c>
      <c r="B602" s="58" t="n"/>
      <c r="C602" s="38" t="n"/>
      <c r="D602" s="38" t="n"/>
      <c r="E602" s="38" t="n"/>
      <c r="F602" s="57">
        <f>IF(E602="","",IFERROR(INDEX(Referensi!$C$5:$C$60,MATCH(E602,Referensi!$A$5:$A$60,0)),"?"))</f>
        <v/>
      </c>
      <c r="G602" s="38" t="n"/>
      <c r="H602" s="59" t="n"/>
      <c r="I602" s="38" t="n"/>
      <c r="J602" s="39" t="n"/>
      <c r="K602" s="60">
        <f>IF(J602="","",SUMIFS(J$5:J602,D$5:D602,"Masuk")-SUMIFS(J$5:J602,D$5:D602,"Keluar"))</f>
        <v/>
      </c>
      <c r="L602" s="38" t="n"/>
      <c r="M602" s="38" t="n"/>
      <c r="N602" s="57">
        <f>IF(E602="","",IFERROR(IF(INDEX(Referensi!$B$5:$B$60,MATCH(E602,Referensi!$A$5:$A$60,0))=D602,"OK","Jenis tidak cocok"),"Kategori tidak dikenal"))</f>
        <v/>
      </c>
    </row>
    <row r="603" ht="15" customHeight="1" s="33">
      <c r="A603" s="57">
        <f>IF(B603="","",ROW()-4)</f>
        <v/>
      </c>
      <c r="B603" s="58" t="n"/>
      <c r="C603" s="38" t="n"/>
      <c r="D603" s="38" t="n"/>
      <c r="E603" s="38" t="n"/>
      <c r="F603" s="57">
        <f>IF(E603="","",IFERROR(INDEX(Referensi!$C$5:$C$60,MATCH(E603,Referensi!$A$5:$A$60,0)),"?"))</f>
        <v/>
      </c>
      <c r="G603" s="38" t="n"/>
      <c r="H603" s="59" t="n"/>
      <c r="I603" s="38" t="n"/>
      <c r="J603" s="39" t="n"/>
      <c r="K603" s="60">
        <f>IF(J603="","",SUMIFS(J$5:J603,D$5:D603,"Masuk")-SUMIFS(J$5:J603,D$5:D603,"Keluar"))</f>
        <v/>
      </c>
      <c r="L603" s="38" t="n"/>
      <c r="M603" s="38" t="n"/>
      <c r="N603" s="57">
        <f>IF(E603="","",IFERROR(IF(INDEX(Referensi!$B$5:$B$60,MATCH(E603,Referensi!$A$5:$A$60,0))=D603,"OK","Jenis tidak cocok"),"Kategori tidak dikenal"))</f>
        <v/>
      </c>
    </row>
    <row r="604" ht="15" customHeight="1" s="33">
      <c r="A604" s="57">
        <f>IF(B604="","",ROW()-4)</f>
        <v/>
      </c>
      <c r="B604" s="58" t="n"/>
      <c r="C604" s="38" t="n"/>
      <c r="D604" s="38" t="n"/>
      <c r="E604" s="38" t="n"/>
      <c r="F604" s="57">
        <f>IF(E604="","",IFERROR(INDEX(Referensi!$C$5:$C$60,MATCH(E604,Referensi!$A$5:$A$60,0)),"?"))</f>
        <v/>
      </c>
      <c r="G604" s="38" t="n"/>
      <c r="H604" s="59" t="n"/>
      <c r="I604" s="38" t="n"/>
      <c r="J604" s="39" t="n"/>
      <c r="K604" s="60">
        <f>IF(J604="","",SUMIFS(J$5:J604,D$5:D604,"Masuk")-SUMIFS(J$5:J604,D$5:D604,"Keluar"))</f>
        <v/>
      </c>
      <c r="L604" s="38" t="n"/>
      <c r="M604" s="38" t="n"/>
      <c r="N604" s="57">
        <f>IF(E604="","",IFERROR(IF(INDEX(Referensi!$B$5:$B$60,MATCH(E604,Referensi!$A$5:$A$60,0))=D604,"OK","Jenis tidak cocok"),"Kategori tidak dikenal"))</f>
        <v/>
      </c>
    </row>
    <row r="605" ht="15" customHeight="1" s="33">
      <c r="A605" s="57">
        <f>IF(B605="","",ROW()-4)</f>
        <v/>
      </c>
      <c r="B605" s="58" t="n"/>
      <c r="C605" s="38" t="n"/>
      <c r="D605" s="38" t="n"/>
      <c r="E605" s="38" t="n"/>
      <c r="F605" s="57">
        <f>IF(E605="","",IFERROR(INDEX(Referensi!$C$5:$C$60,MATCH(E605,Referensi!$A$5:$A$60,0)),"?"))</f>
        <v/>
      </c>
      <c r="G605" s="38" t="n"/>
      <c r="H605" s="59" t="n"/>
      <c r="I605" s="38" t="n"/>
      <c r="J605" s="39" t="n"/>
      <c r="K605" s="60">
        <f>IF(J605="","",SUMIFS(J$5:J605,D$5:D605,"Masuk")-SUMIFS(J$5:J605,D$5:D605,"Keluar"))</f>
        <v/>
      </c>
      <c r="L605" s="38" t="n"/>
      <c r="M605" s="38" t="n"/>
      <c r="N605" s="57">
        <f>IF(E605="","",IFERROR(IF(INDEX(Referensi!$B$5:$B$60,MATCH(E605,Referensi!$A$5:$A$60,0))=D605,"OK","Jenis tidak cocok"),"Kategori tidak dikenal"))</f>
        <v/>
      </c>
    </row>
    <row r="606" ht="15" customHeight="1" s="33">
      <c r="A606" s="57">
        <f>IF(B606="","",ROW()-4)</f>
        <v/>
      </c>
      <c r="B606" s="58" t="n"/>
      <c r="C606" s="38" t="n"/>
      <c r="D606" s="38" t="n"/>
      <c r="E606" s="38" t="n"/>
      <c r="F606" s="57">
        <f>IF(E606="","",IFERROR(INDEX(Referensi!$C$5:$C$60,MATCH(E606,Referensi!$A$5:$A$60,0)),"?"))</f>
        <v/>
      </c>
      <c r="G606" s="38" t="n"/>
      <c r="H606" s="59" t="n"/>
      <c r="I606" s="38" t="n"/>
      <c r="J606" s="39" t="n"/>
      <c r="K606" s="60">
        <f>IF(J606="","",SUMIFS(J$5:J606,D$5:D606,"Masuk")-SUMIFS(J$5:J606,D$5:D606,"Keluar"))</f>
        <v/>
      </c>
      <c r="L606" s="38" t="n"/>
      <c r="M606" s="38" t="n"/>
      <c r="N606" s="57">
        <f>IF(E606="","",IFERROR(IF(INDEX(Referensi!$B$5:$B$60,MATCH(E606,Referensi!$A$5:$A$60,0))=D606,"OK","Jenis tidak cocok"),"Kategori tidak dikenal"))</f>
        <v/>
      </c>
    </row>
    <row r="607" ht="15" customHeight="1" s="33">
      <c r="A607" s="57">
        <f>IF(B607="","",ROW()-4)</f>
        <v/>
      </c>
      <c r="B607" s="58" t="n"/>
      <c r="C607" s="38" t="n"/>
      <c r="D607" s="38" t="n"/>
      <c r="E607" s="38" t="n"/>
      <c r="F607" s="57">
        <f>IF(E607="","",IFERROR(INDEX(Referensi!$C$5:$C$60,MATCH(E607,Referensi!$A$5:$A$60,0)),"?"))</f>
        <v/>
      </c>
      <c r="G607" s="38" t="n"/>
      <c r="H607" s="59" t="n"/>
      <c r="I607" s="38" t="n"/>
      <c r="J607" s="39" t="n"/>
      <c r="K607" s="60">
        <f>IF(J607="","",SUMIFS(J$5:J607,D$5:D607,"Masuk")-SUMIFS(J$5:J607,D$5:D607,"Keluar"))</f>
        <v/>
      </c>
      <c r="L607" s="38" t="n"/>
      <c r="M607" s="38" t="n"/>
      <c r="N607" s="57">
        <f>IF(E607="","",IFERROR(IF(INDEX(Referensi!$B$5:$B$60,MATCH(E607,Referensi!$A$5:$A$60,0))=D607,"OK","Jenis tidak cocok"),"Kategori tidak dikenal"))</f>
        <v/>
      </c>
    </row>
    <row r="608" ht="15" customHeight="1" s="33">
      <c r="A608" s="57">
        <f>IF(B608="","",ROW()-4)</f>
        <v/>
      </c>
      <c r="B608" s="58" t="n"/>
      <c r="C608" s="38" t="n"/>
      <c r="D608" s="38" t="n"/>
      <c r="E608" s="38" t="n"/>
      <c r="F608" s="57">
        <f>IF(E608="","",IFERROR(INDEX(Referensi!$C$5:$C$60,MATCH(E608,Referensi!$A$5:$A$60,0)),"?"))</f>
        <v/>
      </c>
      <c r="G608" s="38" t="n"/>
      <c r="H608" s="59" t="n"/>
      <c r="I608" s="38" t="n"/>
      <c r="J608" s="39" t="n"/>
      <c r="K608" s="60">
        <f>IF(J608="","",SUMIFS(J$5:J608,D$5:D608,"Masuk")-SUMIFS(J$5:J608,D$5:D608,"Keluar"))</f>
        <v/>
      </c>
      <c r="L608" s="38" t="n"/>
      <c r="M608" s="38" t="n"/>
      <c r="N608" s="57">
        <f>IF(E608="","",IFERROR(IF(INDEX(Referensi!$B$5:$B$60,MATCH(E608,Referensi!$A$5:$A$60,0))=D608,"OK","Jenis tidak cocok"),"Kategori tidak dikenal"))</f>
        <v/>
      </c>
    </row>
    <row r="609" ht="15" customHeight="1" s="33">
      <c r="A609" s="57">
        <f>IF(B609="","",ROW()-4)</f>
        <v/>
      </c>
      <c r="B609" s="58" t="n"/>
      <c r="C609" s="38" t="n"/>
      <c r="D609" s="38" t="n"/>
      <c r="E609" s="38" t="n"/>
      <c r="F609" s="57">
        <f>IF(E609="","",IFERROR(INDEX(Referensi!$C$5:$C$60,MATCH(E609,Referensi!$A$5:$A$60,0)),"?"))</f>
        <v/>
      </c>
      <c r="G609" s="38" t="n"/>
      <c r="H609" s="59" t="n"/>
      <c r="I609" s="38" t="n"/>
      <c r="J609" s="39" t="n"/>
      <c r="K609" s="60">
        <f>IF(J609="","",SUMIFS(J$5:J609,D$5:D609,"Masuk")-SUMIFS(J$5:J609,D$5:D609,"Keluar"))</f>
        <v/>
      </c>
      <c r="L609" s="38" t="n"/>
      <c r="M609" s="38" t="n"/>
      <c r="N609" s="57">
        <f>IF(E609="","",IFERROR(IF(INDEX(Referensi!$B$5:$B$60,MATCH(E609,Referensi!$A$5:$A$60,0))=D609,"OK","Jenis tidak cocok"),"Kategori tidak dikenal"))</f>
        <v/>
      </c>
    </row>
    <row r="610" ht="15" customHeight="1" s="33">
      <c r="A610" s="57">
        <f>IF(B610="","",ROW()-4)</f>
        <v/>
      </c>
      <c r="B610" s="58" t="n"/>
      <c r="C610" s="38" t="n"/>
      <c r="D610" s="38" t="n"/>
      <c r="E610" s="38" t="n"/>
      <c r="F610" s="57">
        <f>IF(E610="","",IFERROR(INDEX(Referensi!$C$5:$C$60,MATCH(E610,Referensi!$A$5:$A$60,0)),"?"))</f>
        <v/>
      </c>
      <c r="G610" s="38" t="n"/>
      <c r="H610" s="59" t="n"/>
      <c r="I610" s="38" t="n"/>
      <c r="J610" s="39" t="n"/>
      <c r="K610" s="60">
        <f>IF(J610="","",SUMIFS(J$5:J610,D$5:D610,"Masuk")-SUMIFS(J$5:J610,D$5:D610,"Keluar"))</f>
        <v/>
      </c>
      <c r="L610" s="38" t="n"/>
      <c r="M610" s="38" t="n"/>
      <c r="N610" s="57">
        <f>IF(E610="","",IFERROR(IF(INDEX(Referensi!$B$5:$B$60,MATCH(E610,Referensi!$A$5:$A$60,0))=D610,"OK","Jenis tidak cocok"),"Kategori tidak dikenal"))</f>
        <v/>
      </c>
    </row>
    <row r="611" ht="15" customHeight="1" s="33">
      <c r="A611" s="57">
        <f>IF(B611="","",ROW()-4)</f>
        <v/>
      </c>
      <c r="B611" s="58" t="n"/>
      <c r="C611" s="38" t="n"/>
      <c r="D611" s="38" t="n"/>
      <c r="E611" s="38" t="n"/>
      <c r="F611" s="57">
        <f>IF(E611="","",IFERROR(INDEX(Referensi!$C$5:$C$60,MATCH(E611,Referensi!$A$5:$A$60,0)),"?"))</f>
        <v/>
      </c>
      <c r="G611" s="38" t="n"/>
      <c r="H611" s="59" t="n"/>
      <c r="I611" s="38" t="n"/>
      <c r="J611" s="39" t="n"/>
      <c r="K611" s="60">
        <f>IF(J611="","",SUMIFS(J$5:J611,D$5:D611,"Masuk")-SUMIFS(J$5:J611,D$5:D611,"Keluar"))</f>
        <v/>
      </c>
      <c r="L611" s="38" t="n"/>
      <c r="M611" s="38" t="n"/>
      <c r="N611" s="57">
        <f>IF(E611="","",IFERROR(IF(INDEX(Referensi!$B$5:$B$60,MATCH(E611,Referensi!$A$5:$A$60,0))=D611,"OK","Jenis tidak cocok"),"Kategori tidak dikenal"))</f>
        <v/>
      </c>
    </row>
    <row r="612" ht="15" customHeight="1" s="33">
      <c r="A612" s="57">
        <f>IF(B612="","",ROW()-4)</f>
        <v/>
      </c>
      <c r="B612" s="58" t="n"/>
      <c r="C612" s="38" t="n"/>
      <c r="D612" s="38" t="n"/>
      <c r="E612" s="38" t="n"/>
      <c r="F612" s="57">
        <f>IF(E612="","",IFERROR(INDEX(Referensi!$C$5:$C$60,MATCH(E612,Referensi!$A$5:$A$60,0)),"?"))</f>
        <v/>
      </c>
      <c r="G612" s="38" t="n"/>
      <c r="H612" s="59" t="n"/>
      <c r="I612" s="38" t="n"/>
      <c r="J612" s="39" t="n"/>
      <c r="K612" s="60">
        <f>IF(J612="","",SUMIFS(J$5:J612,D$5:D612,"Masuk")-SUMIFS(J$5:J612,D$5:D612,"Keluar"))</f>
        <v/>
      </c>
      <c r="L612" s="38" t="n"/>
      <c r="M612" s="38" t="n"/>
      <c r="N612" s="57">
        <f>IF(E612="","",IFERROR(IF(INDEX(Referensi!$B$5:$B$60,MATCH(E612,Referensi!$A$5:$A$60,0))=D612,"OK","Jenis tidak cocok"),"Kategori tidak dikenal"))</f>
        <v/>
      </c>
    </row>
    <row r="613" ht="15" customHeight="1" s="33">
      <c r="A613" s="57">
        <f>IF(B613="","",ROW()-4)</f>
        <v/>
      </c>
      <c r="B613" s="58" t="n"/>
      <c r="C613" s="38" t="n"/>
      <c r="D613" s="38" t="n"/>
      <c r="E613" s="38" t="n"/>
      <c r="F613" s="57">
        <f>IF(E613="","",IFERROR(INDEX(Referensi!$C$5:$C$60,MATCH(E613,Referensi!$A$5:$A$60,0)),"?"))</f>
        <v/>
      </c>
      <c r="G613" s="38" t="n"/>
      <c r="H613" s="59" t="n"/>
      <c r="I613" s="38" t="n"/>
      <c r="J613" s="39" t="n"/>
      <c r="K613" s="60">
        <f>IF(J613="","",SUMIFS(J$5:J613,D$5:D613,"Masuk")-SUMIFS(J$5:J613,D$5:D613,"Keluar"))</f>
        <v/>
      </c>
      <c r="L613" s="38" t="n"/>
      <c r="M613" s="38" t="n"/>
      <c r="N613" s="57">
        <f>IF(E613="","",IFERROR(IF(INDEX(Referensi!$B$5:$B$60,MATCH(E613,Referensi!$A$5:$A$60,0))=D613,"OK","Jenis tidak cocok"),"Kategori tidak dikenal"))</f>
        <v/>
      </c>
    </row>
    <row r="614" ht="15" customHeight="1" s="33">
      <c r="A614" s="57">
        <f>IF(B614="","",ROW()-4)</f>
        <v/>
      </c>
      <c r="B614" s="58" t="n"/>
      <c r="C614" s="38" t="n"/>
      <c r="D614" s="38" t="n"/>
      <c r="E614" s="38" t="n"/>
      <c r="F614" s="57">
        <f>IF(E614="","",IFERROR(INDEX(Referensi!$C$5:$C$60,MATCH(E614,Referensi!$A$5:$A$60,0)),"?"))</f>
        <v/>
      </c>
      <c r="G614" s="38" t="n"/>
      <c r="H614" s="59" t="n"/>
      <c r="I614" s="38" t="n"/>
      <c r="J614" s="39" t="n"/>
      <c r="K614" s="60">
        <f>IF(J614="","",SUMIFS(J$5:J614,D$5:D614,"Masuk")-SUMIFS(J$5:J614,D$5:D614,"Keluar"))</f>
        <v/>
      </c>
      <c r="L614" s="38" t="n"/>
      <c r="M614" s="38" t="n"/>
      <c r="N614" s="57">
        <f>IF(E614="","",IFERROR(IF(INDEX(Referensi!$B$5:$B$60,MATCH(E614,Referensi!$A$5:$A$60,0))=D614,"OK","Jenis tidak cocok"),"Kategori tidak dikenal"))</f>
        <v/>
      </c>
    </row>
    <row r="615" ht="15" customHeight="1" s="33">
      <c r="A615" s="57">
        <f>IF(B615="","",ROW()-4)</f>
        <v/>
      </c>
      <c r="B615" s="58" t="n"/>
      <c r="C615" s="38" t="n"/>
      <c r="D615" s="38" t="n"/>
      <c r="E615" s="38" t="n"/>
      <c r="F615" s="57">
        <f>IF(E615="","",IFERROR(INDEX(Referensi!$C$5:$C$60,MATCH(E615,Referensi!$A$5:$A$60,0)),"?"))</f>
        <v/>
      </c>
      <c r="G615" s="38" t="n"/>
      <c r="H615" s="59" t="n"/>
      <c r="I615" s="38" t="n"/>
      <c r="J615" s="39" t="n"/>
      <c r="K615" s="60">
        <f>IF(J615="","",SUMIFS(J$5:J615,D$5:D615,"Masuk")-SUMIFS(J$5:J615,D$5:D615,"Keluar"))</f>
        <v/>
      </c>
      <c r="L615" s="38" t="n"/>
      <c r="M615" s="38" t="n"/>
      <c r="N615" s="57">
        <f>IF(E615="","",IFERROR(IF(INDEX(Referensi!$B$5:$B$60,MATCH(E615,Referensi!$A$5:$A$60,0))=D615,"OK","Jenis tidak cocok"),"Kategori tidak dikenal"))</f>
        <v/>
      </c>
    </row>
    <row r="616" ht="15" customHeight="1" s="33">
      <c r="A616" s="57">
        <f>IF(B616="","",ROW()-4)</f>
        <v/>
      </c>
      <c r="B616" s="58" t="n"/>
      <c r="C616" s="38" t="n"/>
      <c r="D616" s="38" t="n"/>
      <c r="E616" s="38" t="n"/>
      <c r="F616" s="57">
        <f>IF(E616="","",IFERROR(INDEX(Referensi!$C$5:$C$60,MATCH(E616,Referensi!$A$5:$A$60,0)),"?"))</f>
        <v/>
      </c>
      <c r="G616" s="38" t="n"/>
      <c r="H616" s="59" t="n"/>
      <c r="I616" s="38" t="n"/>
      <c r="J616" s="39" t="n"/>
      <c r="K616" s="60">
        <f>IF(J616="","",SUMIFS(J$5:J616,D$5:D616,"Masuk")-SUMIFS(J$5:J616,D$5:D616,"Keluar"))</f>
        <v/>
      </c>
      <c r="L616" s="38" t="n"/>
      <c r="M616" s="38" t="n"/>
      <c r="N616" s="57">
        <f>IF(E616="","",IFERROR(IF(INDEX(Referensi!$B$5:$B$60,MATCH(E616,Referensi!$A$5:$A$60,0))=D616,"OK","Jenis tidak cocok"),"Kategori tidak dikenal"))</f>
        <v/>
      </c>
    </row>
    <row r="617" ht="15" customHeight="1" s="33">
      <c r="A617" s="57">
        <f>IF(B617="","",ROW()-4)</f>
        <v/>
      </c>
      <c r="B617" s="58" t="n"/>
      <c r="C617" s="38" t="n"/>
      <c r="D617" s="38" t="n"/>
      <c r="E617" s="38" t="n"/>
      <c r="F617" s="57">
        <f>IF(E617="","",IFERROR(INDEX(Referensi!$C$5:$C$60,MATCH(E617,Referensi!$A$5:$A$60,0)),"?"))</f>
        <v/>
      </c>
      <c r="G617" s="38" t="n"/>
      <c r="H617" s="59" t="n"/>
      <c r="I617" s="38" t="n"/>
      <c r="J617" s="39" t="n"/>
      <c r="K617" s="60">
        <f>IF(J617="","",SUMIFS(J$5:J617,D$5:D617,"Masuk")-SUMIFS(J$5:J617,D$5:D617,"Keluar"))</f>
        <v/>
      </c>
      <c r="L617" s="38" t="n"/>
      <c r="M617" s="38" t="n"/>
      <c r="N617" s="57">
        <f>IF(E617="","",IFERROR(IF(INDEX(Referensi!$B$5:$B$60,MATCH(E617,Referensi!$A$5:$A$60,0))=D617,"OK","Jenis tidak cocok"),"Kategori tidak dikenal"))</f>
        <v/>
      </c>
    </row>
    <row r="618" ht="15" customHeight="1" s="33">
      <c r="A618" s="57">
        <f>IF(B618="","",ROW()-4)</f>
        <v/>
      </c>
      <c r="B618" s="58" t="n"/>
      <c r="C618" s="38" t="n"/>
      <c r="D618" s="38" t="n"/>
      <c r="E618" s="38" t="n"/>
      <c r="F618" s="57">
        <f>IF(E618="","",IFERROR(INDEX(Referensi!$C$5:$C$60,MATCH(E618,Referensi!$A$5:$A$60,0)),"?"))</f>
        <v/>
      </c>
      <c r="G618" s="38" t="n"/>
      <c r="H618" s="59" t="n"/>
      <c r="I618" s="38" t="n"/>
      <c r="J618" s="39" t="n"/>
      <c r="K618" s="60">
        <f>IF(J618="","",SUMIFS(J$5:J618,D$5:D618,"Masuk")-SUMIFS(J$5:J618,D$5:D618,"Keluar"))</f>
        <v/>
      </c>
      <c r="L618" s="38" t="n"/>
      <c r="M618" s="38" t="n"/>
      <c r="N618" s="57">
        <f>IF(E618="","",IFERROR(IF(INDEX(Referensi!$B$5:$B$60,MATCH(E618,Referensi!$A$5:$A$60,0))=D618,"OK","Jenis tidak cocok"),"Kategori tidak dikenal"))</f>
        <v/>
      </c>
    </row>
    <row r="619" ht="15" customHeight="1" s="33">
      <c r="A619" s="57">
        <f>IF(B619="","",ROW()-4)</f>
        <v/>
      </c>
      <c r="B619" s="58" t="n"/>
      <c r="C619" s="38" t="n"/>
      <c r="D619" s="38" t="n"/>
      <c r="E619" s="38" t="n"/>
      <c r="F619" s="57">
        <f>IF(E619="","",IFERROR(INDEX(Referensi!$C$5:$C$60,MATCH(E619,Referensi!$A$5:$A$60,0)),"?"))</f>
        <v/>
      </c>
      <c r="G619" s="38" t="n"/>
      <c r="H619" s="59" t="n"/>
      <c r="I619" s="38" t="n"/>
      <c r="J619" s="39" t="n"/>
      <c r="K619" s="60">
        <f>IF(J619="","",SUMIFS(J$5:J619,D$5:D619,"Masuk")-SUMIFS(J$5:J619,D$5:D619,"Keluar"))</f>
        <v/>
      </c>
      <c r="L619" s="38" t="n"/>
      <c r="M619" s="38" t="n"/>
      <c r="N619" s="57">
        <f>IF(E619="","",IFERROR(IF(INDEX(Referensi!$B$5:$B$60,MATCH(E619,Referensi!$A$5:$A$60,0))=D619,"OK","Jenis tidak cocok"),"Kategori tidak dikenal"))</f>
        <v/>
      </c>
    </row>
    <row r="620" ht="15" customHeight="1" s="33">
      <c r="A620" s="57">
        <f>IF(B620="","",ROW()-4)</f>
        <v/>
      </c>
      <c r="B620" s="58" t="n"/>
      <c r="C620" s="38" t="n"/>
      <c r="D620" s="38" t="n"/>
      <c r="E620" s="38" t="n"/>
      <c r="F620" s="57">
        <f>IF(E620="","",IFERROR(INDEX(Referensi!$C$5:$C$60,MATCH(E620,Referensi!$A$5:$A$60,0)),"?"))</f>
        <v/>
      </c>
      <c r="G620" s="38" t="n"/>
      <c r="H620" s="59" t="n"/>
      <c r="I620" s="38" t="n"/>
      <c r="J620" s="39" t="n"/>
      <c r="K620" s="60">
        <f>IF(J620="","",SUMIFS(J$5:J620,D$5:D620,"Masuk")-SUMIFS(J$5:J620,D$5:D620,"Keluar"))</f>
        <v/>
      </c>
      <c r="L620" s="38" t="n"/>
      <c r="M620" s="38" t="n"/>
      <c r="N620" s="57">
        <f>IF(E620="","",IFERROR(IF(INDEX(Referensi!$B$5:$B$60,MATCH(E620,Referensi!$A$5:$A$60,0))=D620,"OK","Jenis tidak cocok"),"Kategori tidak dikenal"))</f>
        <v/>
      </c>
    </row>
    <row r="621" ht="15" customHeight="1" s="33">
      <c r="A621" s="57">
        <f>IF(B621="","",ROW()-4)</f>
        <v/>
      </c>
      <c r="B621" s="58" t="n"/>
      <c r="C621" s="38" t="n"/>
      <c r="D621" s="38" t="n"/>
      <c r="E621" s="38" t="n"/>
      <c r="F621" s="57">
        <f>IF(E621="","",IFERROR(INDEX(Referensi!$C$5:$C$60,MATCH(E621,Referensi!$A$5:$A$60,0)),"?"))</f>
        <v/>
      </c>
      <c r="G621" s="38" t="n"/>
      <c r="H621" s="59" t="n"/>
      <c r="I621" s="38" t="n"/>
      <c r="J621" s="39" t="n"/>
      <c r="K621" s="60">
        <f>IF(J621="","",SUMIFS(J$5:J621,D$5:D621,"Masuk")-SUMIFS(J$5:J621,D$5:D621,"Keluar"))</f>
        <v/>
      </c>
      <c r="L621" s="38" t="n"/>
      <c r="M621" s="38" t="n"/>
      <c r="N621" s="57">
        <f>IF(E621="","",IFERROR(IF(INDEX(Referensi!$B$5:$B$60,MATCH(E621,Referensi!$A$5:$A$60,0))=D621,"OK","Jenis tidak cocok"),"Kategori tidak dikenal"))</f>
        <v/>
      </c>
    </row>
    <row r="622" ht="15" customHeight="1" s="33">
      <c r="A622" s="57">
        <f>IF(B622="","",ROW()-4)</f>
        <v/>
      </c>
      <c r="B622" s="58" t="n"/>
      <c r="C622" s="38" t="n"/>
      <c r="D622" s="38" t="n"/>
      <c r="E622" s="38" t="n"/>
      <c r="F622" s="57">
        <f>IF(E622="","",IFERROR(INDEX(Referensi!$C$5:$C$60,MATCH(E622,Referensi!$A$5:$A$60,0)),"?"))</f>
        <v/>
      </c>
      <c r="G622" s="38" t="n"/>
      <c r="H622" s="59" t="n"/>
      <c r="I622" s="38" t="n"/>
      <c r="J622" s="39" t="n"/>
      <c r="K622" s="60">
        <f>IF(J622="","",SUMIFS(J$5:J622,D$5:D622,"Masuk")-SUMIFS(J$5:J622,D$5:D622,"Keluar"))</f>
        <v/>
      </c>
      <c r="L622" s="38" t="n"/>
      <c r="M622" s="38" t="n"/>
      <c r="N622" s="57">
        <f>IF(E622="","",IFERROR(IF(INDEX(Referensi!$B$5:$B$60,MATCH(E622,Referensi!$A$5:$A$60,0))=D622,"OK","Jenis tidak cocok"),"Kategori tidak dikenal"))</f>
        <v/>
      </c>
    </row>
    <row r="623" ht="15" customHeight="1" s="33">
      <c r="A623" s="57">
        <f>IF(B623="","",ROW()-4)</f>
        <v/>
      </c>
      <c r="B623" s="58" t="n"/>
      <c r="C623" s="38" t="n"/>
      <c r="D623" s="38" t="n"/>
      <c r="E623" s="38" t="n"/>
      <c r="F623" s="57">
        <f>IF(E623="","",IFERROR(INDEX(Referensi!$C$5:$C$60,MATCH(E623,Referensi!$A$5:$A$60,0)),"?"))</f>
        <v/>
      </c>
      <c r="G623" s="38" t="n"/>
      <c r="H623" s="59" t="n"/>
      <c r="I623" s="38" t="n"/>
      <c r="J623" s="39" t="n"/>
      <c r="K623" s="60">
        <f>IF(J623="","",SUMIFS(J$5:J623,D$5:D623,"Masuk")-SUMIFS(J$5:J623,D$5:D623,"Keluar"))</f>
        <v/>
      </c>
      <c r="L623" s="38" t="n"/>
      <c r="M623" s="38" t="n"/>
      <c r="N623" s="57">
        <f>IF(E623="","",IFERROR(IF(INDEX(Referensi!$B$5:$B$60,MATCH(E623,Referensi!$A$5:$A$60,0))=D623,"OK","Jenis tidak cocok"),"Kategori tidak dikenal"))</f>
        <v/>
      </c>
    </row>
    <row r="624" ht="15" customHeight="1" s="33">
      <c r="A624" s="57">
        <f>IF(B624="","",ROW()-4)</f>
        <v/>
      </c>
      <c r="B624" s="58" t="n"/>
      <c r="C624" s="38" t="n"/>
      <c r="D624" s="38" t="n"/>
      <c r="E624" s="38" t="n"/>
      <c r="F624" s="57">
        <f>IF(E624="","",IFERROR(INDEX(Referensi!$C$5:$C$60,MATCH(E624,Referensi!$A$5:$A$60,0)),"?"))</f>
        <v/>
      </c>
      <c r="G624" s="38" t="n"/>
      <c r="H624" s="59" t="n"/>
      <c r="I624" s="38" t="n"/>
      <c r="J624" s="39" t="n"/>
      <c r="K624" s="60">
        <f>IF(J624="","",SUMIFS(J$5:J624,D$5:D624,"Masuk")-SUMIFS(J$5:J624,D$5:D624,"Keluar"))</f>
        <v/>
      </c>
      <c r="L624" s="38" t="n"/>
      <c r="M624" s="38" t="n"/>
      <c r="N624" s="57">
        <f>IF(E624="","",IFERROR(IF(INDEX(Referensi!$B$5:$B$60,MATCH(E624,Referensi!$A$5:$A$60,0))=D624,"OK","Jenis tidak cocok"),"Kategori tidak dikenal"))</f>
        <v/>
      </c>
    </row>
    <row r="625" ht="15" customHeight="1" s="33">
      <c r="A625" s="57">
        <f>IF(B625="","",ROW()-4)</f>
        <v/>
      </c>
      <c r="B625" s="58" t="n"/>
      <c r="C625" s="38" t="n"/>
      <c r="D625" s="38" t="n"/>
      <c r="E625" s="38" t="n"/>
      <c r="F625" s="57">
        <f>IF(E625="","",IFERROR(INDEX(Referensi!$C$5:$C$60,MATCH(E625,Referensi!$A$5:$A$60,0)),"?"))</f>
        <v/>
      </c>
      <c r="G625" s="38" t="n"/>
      <c r="H625" s="59" t="n"/>
      <c r="I625" s="38" t="n"/>
      <c r="J625" s="39" t="n"/>
      <c r="K625" s="60">
        <f>IF(J625="","",SUMIFS(J$5:J625,D$5:D625,"Masuk")-SUMIFS(J$5:J625,D$5:D625,"Keluar"))</f>
        <v/>
      </c>
      <c r="L625" s="38" t="n"/>
      <c r="M625" s="38" t="n"/>
      <c r="N625" s="57">
        <f>IF(E625="","",IFERROR(IF(INDEX(Referensi!$B$5:$B$60,MATCH(E625,Referensi!$A$5:$A$60,0))=D625,"OK","Jenis tidak cocok"),"Kategori tidak dikenal"))</f>
        <v/>
      </c>
    </row>
    <row r="626" ht="15" customHeight="1" s="33">
      <c r="A626" s="57">
        <f>IF(B626="","",ROW()-4)</f>
        <v/>
      </c>
      <c r="B626" s="58" t="n"/>
      <c r="C626" s="38" t="n"/>
      <c r="D626" s="38" t="n"/>
      <c r="E626" s="38" t="n"/>
      <c r="F626" s="57">
        <f>IF(E626="","",IFERROR(INDEX(Referensi!$C$5:$C$60,MATCH(E626,Referensi!$A$5:$A$60,0)),"?"))</f>
        <v/>
      </c>
      <c r="G626" s="38" t="n"/>
      <c r="H626" s="59" t="n"/>
      <c r="I626" s="38" t="n"/>
      <c r="J626" s="39" t="n"/>
      <c r="K626" s="60">
        <f>IF(J626="","",SUMIFS(J$5:J626,D$5:D626,"Masuk")-SUMIFS(J$5:J626,D$5:D626,"Keluar"))</f>
        <v/>
      </c>
      <c r="L626" s="38" t="n"/>
      <c r="M626" s="38" t="n"/>
      <c r="N626" s="57">
        <f>IF(E626="","",IFERROR(IF(INDEX(Referensi!$B$5:$B$60,MATCH(E626,Referensi!$A$5:$A$60,0))=D626,"OK","Jenis tidak cocok"),"Kategori tidak dikenal"))</f>
        <v/>
      </c>
    </row>
    <row r="627" ht="15" customHeight="1" s="33">
      <c r="A627" s="57">
        <f>IF(B627="","",ROW()-4)</f>
        <v/>
      </c>
      <c r="B627" s="58" t="n"/>
      <c r="C627" s="38" t="n"/>
      <c r="D627" s="38" t="n"/>
      <c r="E627" s="38" t="n"/>
      <c r="F627" s="57">
        <f>IF(E627="","",IFERROR(INDEX(Referensi!$C$5:$C$60,MATCH(E627,Referensi!$A$5:$A$60,0)),"?"))</f>
        <v/>
      </c>
      <c r="G627" s="38" t="n"/>
      <c r="H627" s="59" t="n"/>
      <c r="I627" s="38" t="n"/>
      <c r="J627" s="39" t="n"/>
      <c r="K627" s="60">
        <f>IF(J627="","",SUMIFS(J$5:J627,D$5:D627,"Masuk")-SUMIFS(J$5:J627,D$5:D627,"Keluar"))</f>
        <v/>
      </c>
      <c r="L627" s="38" t="n"/>
      <c r="M627" s="38" t="n"/>
      <c r="N627" s="57">
        <f>IF(E627="","",IFERROR(IF(INDEX(Referensi!$B$5:$B$60,MATCH(E627,Referensi!$A$5:$A$60,0))=D627,"OK","Jenis tidak cocok"),"Kategori tidak dikenal"))</f>
        <v/>
      </c>
    </row>
    <row r="628" ht="15" customHeight="1" s="33">
      <c r="A628" s="57">
        <f>IF(B628="","",ROW()-4)</f>
        <v/>
      </c>
      <c r="B628" s="58" t="n"/>
      <c r="C628" s="38" t="n"/>
      <c r="D628" s="38" t="n"/>
      <c r="E628" s="38" t="n"/>
      <c r="F628" s="57">
        <f>IF(E628="","",IFERROR(INDEX(Referensi!$C$5:$C$60,MATCH(E628,Referensi!$A$5:$A$60,0)),"?"))</f>
        <v/>
      </c>
      <c r="G628" s="38" t="n"/>
      <c r="H628" s="59" t="n"/>
      <c r="I628" s="38" t="n"/>
      <c r="J628" s="39" t="n"/>
      <c r="K628" s="60">
        <f>IF(J628="","",SUMIFS(J$5:J628,D$5:D628,"Masuk")-SUMIFS(J$5:J628,D$5:D628,"Keluar"))</f>
        <v/>
      </c>
      <c r="L628" s="38" t="n"/>
      <c r="M628" s="38" t="n"/>
      <c r="N628" s="57">
        <f>IF(E628="","",IFERROR(IF(INDEX(Referensi!$B$5:$B$60,MATCH(E628,Referensi!$A$5:$A$60,0))=D628,"OK","Jenis tidak cocok"),"Kategori tidak dikenal"))</f>
        <v/>
      </c>
    </row>
    <row r="629" ht="15" customHeight="1" s="33">
      <c r="A629" s="57">
        <f>IF(B629="","",ROW()-4)</f>
        <v/>
      </c>
      <c r="B629" s="58" t="n"/>
      <c r="C629" s="38" t="n"/>
      <c r="D629" s="38" t="n"/>
      <c r="E629" s="38" t="n"/>
      <c r="F629" s="57">
        <f>IF(E629="","",IFERROR(INDEX(Referensi!$C$5:$C$60,MATCH(E629,Referensi!$A$5:$A$60,0)),"?"))</f>
        <v/>
      </c>
      <c r="G629" s="38" t="n"/>
      <c r="H629" s="59" t="n"/>
      <c r="I629" s="38" t="n"/>
      <c r="J629" s="39" t="n"/>
      <c r="K629" s="60">
        <f>IF(J629="","",SUMIFS(J$5:J629,D$5:D629,"Masuk")-SUMIFS(J$5:J629,D$5:D629,"Keluar"))</f>
        <v/>
      </c>
      <c r="L629" s="38" t="n"/>
      <c r="M629" s="38" t="n"/>
      <c r="N629" s="57">
        <f>IF(E629="","",IFERROR(IF(INDEX(Referensi!$B$5:$B$60,MATCH(E629,Referensi!$A$5:$A$60,0))=D629,"OK","Jenis tidak cocok"),"Kategori tidak dikenal"))</f>
        <v/>
      </c>
    </row>
    <row r="630" ht="15" customHeight="1" s="33">
      <c r="A630" s="57">
        <f>IF(B630="","",ROW()-4)</f>
        <v/>
      </c>
      <c r="B630" s="58" t="n"/>
      <c r="C630" s="38" t="n"/>
      <c r="D630" s="38" t="n"/>
      <c r="E630" s="38" t="n"/>
      <c r="F630" s="57">
        <f>IF(E630="","",IFERROR(INDEX(Referensi!$C$5:$C$60,MATCH(E630,Referensi!$A$5:$A$60,0)),"?"))</f>
        <v/>
      </c>
      <c r="G630" s="38" t="n"/>
      <c r="H630" s="59" t="n"/>
      <c r="I630" s="38" t="n"/>
      <c r="J630" s="39" t="n"/>
      <c r="K630" s="60">
        <f>IF(J630="","",SUMIFS(J$5:J630,D$5:D630,"Masuk")-SUMIFS(J$5:J630,D$5:D630,"Keluar"))</f>
        <v/>
      </c>
      <c r="L630" s="38" t="n"/>
      <c r="M630" s="38" t="n"/>
      <c r="N630" s="57">
        <f>IF(E630="","",IFERROR(IF(INDEX(Referensi!$B$5:$B$60,MATCH(E630,Referensi!$A$5:$A$60,0))=D630,"OK","Jenis tidak cocok"),"Kategori tidak dikenal"))</f>
        <v/>
      </c>
    </row>
    <row r="631" ht="15" customHeight="1" s="33">
      <c r="A631" s="57">
        <f>IF(B631="","",ROW()-4)</f>
        <v/>
      </c>
      <c r="B631" s="58" t="n"/>
      <c r="C631" s="38" t="n"/>
      <c r="D631" s="38" t="n"/>
      <c r="E631" s="38" t="n"/>
      <c r="F631" s="57">
        <f>IF(E631="","",IFERROR(INDEX(Referensi!$C$5:$C$60,MATCH(E631,Referensi!$A$5:$A$60,0)),"?"))</f>
        <v/>
      </c>
      <c r="G631" s="38" t="n"/>
      <c r="H631" s="59" t="n"/>
      <c r="I631" s="38" t="n"/>
      <c r="J631" s="39" t="n"/>
      <c r="K631" s="60">
        <f>IF(J631="","",SUMIFS(J$5:J631,D$5:D631,"Masuk")-SUMIFS(J$5:J631,D$5:D631,"Keluar"))</f>
        <v/>
      </c>
      <c r="L631" s="38" t="n"/>
      <c r="M631" s="38" t="n"/>
      <c r="N631" s="57">
        <f>IF(E631="","",IFERROR(IF(INDEX(Referensi!$B$5:$B$60,MATCH(E631,Referensi!$A$5:$A$60,0))=D631,"OK","Jenis tidak cocok"),"Kategori tidak dikenal"))</f>
        <v/>
      </c>
    </row>
    <row r="632" ht="15" customHeight="1" s="33">
      <c r="A632" s="57">
        <f>IF(B632="","",ROW()-4)</f>
        <v/>
      </c>
      <c r="B632" s="58" t="n"/>
      <c r="C632" s="38" t="n"/>
      <c r="D632" s="38" t="n"/>
      <c r="E632" s="38" t="n"/>
      <c r="F632" s="57">
        <f>IF(E632="","",IFERROR(INDEX(Referensi!$C$5:$C$60,MATCH(E632,Referensi!$A$5:$A$60,0)),"?"))</f>
        <v/>
      </c>
      <c r="G632" s="38" t="n"/>
      <c r="H632" s="59" t="n"/>
      <c r="I632" s="38" t="n"/>
      <c r="J632" s="39" t="n"/>
      <c r="K632" s="60">
        <f>IF(J632="","",SUMIFS(J$5:J632,D$5:D632,"Masuk")-SUMIFS(J$5:J632,D$5:D632,"Keluar"))</f>
        <v/>
      </c>
      <c r="L632" s="38" t="n"/>
      <c r="M632" s="38" t="n"/>
      <c r="N632" s="57">
        <f>IF(E632="","",IFERROR(IF(INDEX(Referensi!$B$5:$B$60,MATCH(E632,Referensi!$A$5:$A$60,0))=D632,"OK","Jenis tidak cocok"),"Kategori tidak dikenal"))</f>
        <v/>
      </c>
    </row>
    <row r="633" ht="15" customHeight="1" s="33">
      <c r="A633" s="57">
        <f>IF(B633="","",ROW()-4)</f>
        <v/>
      </c>
      <c r="B633" s="58" t="n"/>
      <c r="C633" s="38" t="n"/>
      <c r="D633" s="38" t="n"/>
      <c r="E633" s="38" t="n"/>
      <c r="F633" s="57">
        <f>IF(E633="","",IFERROR(INDEX(Referensi!$C$5:$C$60,MATCH(E633,Referensi!$A$5:$A$60,0)),"?"))</f>
        <v/>
      </c>
      <c r="G633" s="38" t="n"/>
      <c r="H633" s="59" t="n"/>
      <c r="I633" s="38" t="n"/>
      <c r="J633" s="39" t="n"/>
      <c r="K633" s="60">
        <f>IF(J633="","",SUMIFS(J$5:J633,D$5:D633,"Masuk")-SUMIFS(J$5:J633,D$5:D633,"Keluar"))</f>
        <v/>
      </c>
      <c r="L633" s="38" t="n"/>
      <c r="M633" s="38" t="n"/>
      <c r="N633" s="57">
        <f>IF(E633="","",IFERROR(IF(INDEX(Referensi!$B$5:$B$60,MATCH(E633,Referensi!$A$5:$A$60,0))=D633,"OK","Jenis tidak cocok"),"Kategori tidak dikenal"))</f>
        <v/>
      </c>
    </row>
    <row r="634" ht="15" customHeight="1" s="33">
      <c r="A634" s="57">
        <f>IF(B634="","",ROW()-4)</f>
        <v/>
      </c>
      <c r="B634" s="58" t="n"/>
      <c r="C634" s="38" t="n"/>
      <c r="D634" s="38" t="n"/>
      <c r="E634" s="38" t="n"/>
      <c r="F634" s="57">
        <f>IF(E634="","",IFERROR(INDEX(Referensi!$C$5:$C$60,MATCH(E634,Referensi!$A$5:$A$60,0)),"?"))</f>
        <v/>
      </c>
      <c r="G634" s="38" t="n"/>
      <c r="H634" s="59" t="n"/>
      <c r="I634" s="38" t="n"/>
      <c r="J634" s="39" t="n"/>
      <c r="K634" s="60">
        <f>IF(J634="","",SUMIFS(J$5:J634,D$5:D634,"Masuk")-SUMIFS(J$5:J634,D$5:D634,"Keluar"))</f>
        <v/>
      </c>
      <c r="L634" s="38" t="n"/>
      <c r="M634" s="38" t="n"/>
      <c r="N634" s="57">
        <f>IF(E634="","",IFERROR(IF(INDEX(Referensi!$B$5:$B$60,MATCH(E634,Referensi!$A$5:$A$60,0))=D634,"OK","Jenis tidak cocok"),"Kategori tidak dikenal"))</f>
        <v/>
      </c>
    </row>
    <row r="635" ht="15" customHeight="1" s="33">
      <c r="A635" s="57">
        <f>IF(B635="","",ROW()-4)</f>
        <v/>
      </c>
      <c r="B635" s="58" t="n"/>
      <c r="C635" s="38" t="n"/>
      <c r="D635" s="38" t="n"/>
      <c r="E635" s="38" t="n"/>
      <c r="F635" s="57">
        <f>IF(E635="","",IFERROR(INDEX(Referensi!$C$5:$C$60,MATCH(E635,Referensi!$A$5:$A$60,0)),"?"))</f>
        <v/>
      </c>
      <c r="G635" s="38" t="n"/>
      <c r="H635" s="59" t="n"/>
      <c r="I635" s="38" t="n"/>
      <c r="J635" s="39" t="n"/>
      <c r="K635" s="60">
        <f>IF(J635="","",SUMIFS(J$5:J635,D$5:D635,"Masuk")-SUMIFS(J$5:J635,D$5:D635,"Keluar"))</f>
        <v/>
      </c>
      <c r="L635" s="38" t="n"/>
      <c r="M635" s="38" t="n"/>
      <c r="N635" s="57">
        <f>IF(E635="","",IFERROR(IF(INDEX(Referensi!$B$5:$B$60,MATCH(E635,Referensi!$A$5:$A$60,0))=D635,"OK","Jenis tidak cocok"),"Kategori tidak dikenal"))</f>
        <v/>
      </c>
    </row>
    <row r="636" ht="15" customHeight="1" s="33">
      <c r="A636" s="57">
        <f>IF(B636="","",ROW()-4)</f>
        <v/>
      </c>
      <c r="B636" s="58" t="n"/>
      <c r="C636" s="38" t="n"/>
      <c r="D636" s="38" t="n"/>
      <c r="E636" s="38" t="n"/>
      <c r="F636" s="57">
        <f>IF(E636="","",IFERROR(INDEX(Referensi!$C$5:$C$60,MATCH(E636,Referensi!$A$5:$A$60,0)),"?"))</f>
        <v/>
      </c>
      <c r="G636" s="38" t="n"/>
      <c r="H636" s="59" t="n"/>
      <c r="I636" s="38" t="n"/>
      <c r="J636" s="39" t="n"/>
      <c r="K636" s="60">
        <f>IF(J636="","",SUMIFS(J$5:J636,D$5:D636,"Masuk")-SUMIFS(J$5:J636,D$5:D636,"Keluar"))</f>
        <v/>
      </c>
      <c r="L636" s="38" t="n"/>
      <c r="M636" s="38" t="n"/>
      <c r="N636" s="57">
        <f>IF(E636="","",IFERROR(IF(INDEX(Referensi!$B$5:$B$60,MATCH(E636,Referensi!$A$5:$A$60,0))=D636,"OK","Jenis tidak cocok"),"Kategori tidak dikenal"))</f>
        <v/>
      </c>
    </row>
    <row r="637" ht="15" customHeight="1" s="33">
      <c r="A637" s="57">
        <f>IF(B637="","",ROW()-4)</f>
        <v/>
      </c>
      <c r="B637" s="58" t="n"/>
      <c r="C637" s="38" t="n"/>
      <c r="D637" s="38" t="n"/>
      <c r="E637" s="38" t="n"/>
      <c r="F637" s="57">
        <f>IF(E637="","",IFERROR(INDEX(Referensi!$C$5:$C$60,MATCH(E637,Referensi!$A$5:$A$60,0)),"?"))</f>
        <v/>
      </c>
      <c r="G637" s="38" t="n"/>
      <c r="H637" s="59" t="n"/>
      <c r="I637" s="38" t="n"/>
      <c r="J637" s="39" t="n"/>
      <c r="K637" s="60">
        <f>IF(J637="","",SUMIFS(J$5:J637,D$5:D637,"Masuk")-SUMIFS(J$5:J637,D$5:D637,"Keluar"))</f>
        <v/>
      </c>
      <c r="L637" s="38" t="n"/>
      <c r="M637" s="38" t="n"/>
      <c r="N637" s="57">
        <f>IF(E637="","",IFERROR(IF(INDEX(Referensi!$B$5:$B$60,MATCH(E637,Referensi!$A$5:$A$60,0))=D637,"OK","Jenis tidak cocok"),"Kategori tidak dikenal"))</f>
        <v/>
      </c>
    </row>
    <row r="638" ht="15" customHeight="1" s="33">
      <c r="A638" s="57">
        <f>IF(B638="","",ROW()-4)</f>
        <v/>
      </c>
      <c r="B638" s="58" t="n"/>
      <c r="C638" s="38" t="n"/>
      <c r="D638" s="38" t="n"/>
      <c r="E638" s="38" t="n"/>
      <c r="F638" s="57">
        <f>IF(E638="","",IFERROR(INDEX(Referensi!$C$5:$C$60,MATCH(E638,Referensi!$A$5:$A$60,0)),"?"))</f>
        <v/>
      </c>
      <c r="G638" s="38" t="n"/>
      <c r="H638" s="59" t="n"/>
      <c r="I638" s="38" t="n"/>
      <c r="J638" s="39" t="n"/>
      <c r="K638" s="60">
        <f>IF(J638="","",SUMIFS(J$5:J638,D$5:D638,"Masuk")-SUMIFS(J$5:J638,D$5:D638,"Keluar"))</f>
        <v/>
      </c>
      <c r="L638" s="38" t="n"/>
      <c r="M638" s="38" t="n"/>
      <c r="N638" s="57">
        <f>IF(E638="","",IFERROR(IF(INDEX(Referensi!$B$5:$B$60,MATCH(E638,Referensi!$A$5:$A$60,0))=D638,"OK","Jenis tidak cocok"),"Kategori tidak dikenal"))</f>
        <v/>
      </c>
    </row>
    <row r="639" ht="15" customHeight="1" s="33">
      <c r="A639" s="57">
        <f>IF(B639="","",ROW()-4)</f>
        <v/>
      </c>
      <c r="B639" s="58" t="n"/>
      <c r="C639" s="38" t="n"/>
      <c r="D639" s="38" t="n"/>
      <c r="E639" s="38" t="n"/>
      <c r="F639" s="57">
        <f>IF(E639="","",IFERROR(INDEX(Referensi!$C$5:$C$60,MATCH(E639,Referensi!$A$5:$A$60,0)),"?"))</f>
        <v/>
      </c>
      <c r="G639" s="38" t="n"/>
      <c r="H639" s="59" t="n"/>
      <c r="I639" s="38" t="n"/>
      <c r="J639" s="39" t="n"/>
      <c r="K639" s="60">
        <f>IF(J639="","",SUMIFS(J$5:J639,D$5:D639,"Masuk")-SUMIFS(J$5:J639,D$5:D639,"Keluar"))</f>
        <v/>
      </c>
      <c r="L639" s="38" t="n"/>
      <c r="M639" s="38" t="n"/>
      <c r="N639" s="57">
        <f>IF(E639="","",IFERROR(IF(INDEX(Referensi!$B$5:$B$60,MATCH(E639,Referensi!$A$5:$A$60,0))=D639,"OK","Jenis tidak cocok"),"Kategori tidak dikenal"))</f>
        <v/>
      </c>
    </row>
    <row r="640" ht="15" customHeight="1" s="33">
      <c r="A640" s="57">
        <f>IF(B640="","",ROW()-4)</f>
        <v/>
      </c>
      <c r="B640" s="58" t="n"/>
      <c r="C640" s="38" t="n"/>
      <c r="D640" s="38" t="n"/>
      <c r="E640" s="38" t="n"/>
      <c r="F640" s="57">
        <f>IF(E640="","",IFERROR(INDEX(Referensi!$C$5:$C$60,MATCH(E640,Referensi!$A$5:$A$60,0)),"?"))</f>
        <v/>
      </c>
      <c r="G640" s="38" t="n"/>
      <c r="H640" s="59" t="n"/>
      <c r="I640" s="38" t="n"/>
      <c r="J640" s="39" t="n"/>
      <c r="K640" s="60">
        <f>IF(J640="","",SUMIFS(J$5:J640,D$5:D640,"Masuk")-SUMIFS(J$5:J640,D$5:D640,"Keluar"))</f>
        <v/>
      </c>
      <c r="L640" s="38" t="n"/>
      <c r="M640" s="38" t="n"/>
      <c r="N640" s="57">
        <f>IF(E640="","",IFERROR(IF(INDEX(Referensi!$B$5:$B$60,MATCH(E640,Referensi!$A$5:$A$60,0))=D640,"OK","Jenis tidak cocok"),"Kategori tidak dikenal"))</f>
        <v/>
      </c>
    </row>
    <row r="641" ht="15" customHeight="1" s="33">
      <c r="A641" s="57">
        <f>IF(B641="","",ROW()-4)</f>
        <v/>
      </c>
      <c r="B641" s="58" t="n"/>
      <c r="C641" s="38" t="n"/>
      <c r="D641" s="38" t="n"/>
      <c r="E641" s="38" t="n"/>
      <c r="F641" s="57">
        <f>IF(E641="","",IFERROR(INDEX(Referensi!$C$5:$C$60,MATCH(E641,Referensi!$A$5:$A$60,0)),"?"))</f>
        <v/>
      </c>
      <c r="G641" s="38" t="n"/>
      <c r="H641" s="59" t="n"/>
      <c r="I641" s="38" t="n"/>
      <c r="J641" s="39" t="n"/>
      <c r="K641" s="60">
        <f>IF(J641="","",SUMIFS(J$5:J641,D$5:D641,"Masuk")-SUMIFS(J$5:J641,D$5:D641,"Keluar"))</f>
        <v/>
      </c>
      <c r="L641" s="38" t="n"/>
      <c r="M641" s="38" t="n"/>
      <c r="N641" s="57">
        <f>IF(E641="","",IFERROR(IF(INDEX(Referensi!$B$5:$B$60,MATCH(E641,Referensi!$A$5:$A$60,0))=D641,"OK","Jenis tidak cocok"),"Kategori tidak dikenal"))</f>
        <v/>
      </c>
    </row>
    <row r="642" ht="15" customHeight="1" s="33">
      <c r="A642" s="57">
        <f>IF(B642="","",ROW()-4)</f>
        <v/>
      </c>
      <c r="B642" s="58" t="n"/>
      <c r="C642" s="38" t="n"/>
      <c r="D642" s="38" t="n"/>
      <c r="E642" s="38" t="n"/>
      <c r="F642" s="57">
        <f>IF(E642="","",IFERROR(INDEX(Referensi!$C$5:$C$60,MATCH(E642,Referensi!$A$5:$A$60,0)),"?"))</f>
        <v/>
      </c>
      <c r="G642" s="38" t="n"/>
      <c r="H642" s="59" t="n"/>
      <c r="I642" s="38" t="n"/>
      <c r="J642" s="39" t="n"/>
      <c r="K642" s="60">
        <f>IF(J642="","",SUMIFS(J$5:J642,D$5:D642,"Masuk")-SUMIFS(J$5:J642,D$5:D642,"Keluar"))</f>
        <v/>
      </c>
      <c r="L642" s="38" t="n"/>
      <c r="M642" s="38" t="n"/>
      <c r="N642" s="57">
        <f>IF(E642="","",IFERROR(IF(INDEX(Referensi!$B$5:$B$60,MATCH(E642,Referensi!$A$5:$A$60,0))=D642,"OK","Jenis tidak cocok"),"Kategori tidak dikenal"))</f>
        <v/>
      </c>
    </row>
    <row r="643" ht="15" customHeight="1" s="33">
      <c r="A643" s="57">
        <f>IF(B643="","",ROW()-4)</f>
        <v/>
      </c>
      <c r="B643" s="58" t="n"/>
      <c r="C643" s="38" t="n"/>
      <c r="D643" s="38" t="n"/>
      <c r="E643" s="38" t="n"/>
      <c r="F643" s="57">
        <f>IF(E643="","",IFERROR(INDEX(Referensi!$C$5:$C$60,MATCH(E643,Referensi!$A$5:$A$60,0)),"?"))</f>
        <v/>
      </c>
      <c r="G643" s="38" t="n"/>
      <c r="H643" s="59" t="n"/>
      <c r="I643" s="38" t="n"/>
      <c r="J643" s="39" t="n"/>
      <c r="K643" s="60">
        <f>IF(J643="","",SUMIFS(J$5:J643,D$5:D643,"Masuk")-SUMIFS(J$5:J643,D$5:D643,"Keluar"))</f>
        <v/>
      </c>
      <c r="L643" s="38" t="n"/>
      <c r="M643" s="38" t="n"/>
      <c r="N643" s="57">
        <f>IF(E643="","",IFERROR(IF(INDEX(Referensi!$B$5:$B$60,MATCH(E643,Referensi!$A$5:$A$60,0))=D643,"OK","Jenis tidak cocok"),"Kategori tidak dikenal"))</f>
        <v/>
      </c>
    </row>
    <row r="644" ht="15" customHeight="1" s="33">
      <c r="A644" s="57">
        <f>IF(B644="","",ROW()-4)</f>
        <v/>
      </c>
      <c r="B644" s="58" t="n"/>
      <c r="C644" s="38" t="n"/>
      <c r="D644" s="38" t="n"/>
      <c r="E644" s="38" t="n"/>
      <c r="F644" s="57">
        <f>IF(E644="","",IFERROR(INDEX(Referensi!$C$5:$C$60,MATCH(E644,Referensi!$A$5:$A$60,0)),"?"))</f>
        <v/>
      </c>
      <c r="G644" s="38" t="n"/>
      <c r="H644" s="59" t="n"/>
      <c r="I644" s="38" t="n"/>
      <c r="J644" s="39" t="n"/>
      <c r="K644" s="60">
        <f>IF(J644="","",SUMIFS(J$5:J644,D$5:D644,"Masuk")-SUMIFS(J$5:J644,D$5:D644,"Keluar"))</f>
        <v/>
      </c>
      <c r="L644" s="38" t="n"/>
      <c r="M644" s="38" t="n"/>
      <c r="N644" s="57">
        <f>IF(E644="","",IFERROR(IF(INDEX(Referensi!$B$5:$B$60,MATCH(E644,Referensi!$A$5:$A$60,0))=D644,"OK","Jenis tidak cocok"),"Kategori tidak dikenal"))</f>
        <v/>
      </c>
    </row>
    <row r="645" ht="15" customHeight="1" s="33">
      <c r="A645" s="57">
        <f>IF(B645="","",ROW()-4)</f>
        <v/>
      </c>
      <c r="B645" s="58" t="n"/>
      <c r="C645" s="38" t="n"/>
      <c r="D645" s="38" t="n"/>
      <c r="E645" s="38" t="n"/>
      <c r="F645" s="57">
        <f>IF(E645="","",IFERROR(INDEX(Referensi!$C$5:$C$60,MATCH(E645,Referensi!$A$5:$A$60,0)),"?"))</f>
        <v/>
      </c>
      <c r="G645" s="38" t="n"/>
      <c r="H645" s="59" t="n"/>
      <c r="I645" s="38" t="n"/>
      <c r="J645" s="39" t="n"/>
      <c r="K645" s="60">
        <f>IF(J645="","",SUMIFS(J$5:J645,D$5:D645,"Masuk")-SUMIFS(J$5:J645,D$5:D645,"Keluar"))</f>
        <v/>
      </c>
      <c r="L645" s="38" t="n"/>
      <c r="M645" s="38" t="n"/>
      <c r="N645" s="57">
        <f>IF(E645="","",IFERROR(IF(INDEX(Referensi!$B$5:$B$60,MATCH(E645,Referensi!$A$5:$A$60,0))=D645,"OK","Jenis tidak cocok"),"Kategori tidak dikenal"))</f>
        <v/>
      </c>
    </row>
    <row r="646" ht="15" customHeight="1" s="33">
      <c r="A646" s="57">
        <f>IF(B646="","",ROW()-4)</f>
        <v/>
      </c>
      <c r="B646" s="58" t="n"/>
      <c r="C646" s="38" t="n"/>
      <c r="D646" s="38" t="n"/>
      <c r="E646" s="38" t="n"/>
      <c r="F646" s="57">
        <f>IF(E646="","",IFERROR(INDEX(Referensi!$C$5:$C$60,MATCH(E646,Referensi!$A$5:$A$60,0)),"?"))</f>
        <v/>
      </c>
      <c r="G646" s="38" t="n"/>
      <c r="H646" s="59" t="n"/>
      <c r="I646" s="38" t="n"/>
      <c r="J646" s="39" t="n"/>
      <c r="K646" s="60">
        <f>IF(J646="","",SUMIFS(J$5:J646,D$5:D646,"Masuk")-SUMIFS(J$5:J646,D$5:D646,"Keluar"))</f>
        <v/>
      </c>
      <c r="L646" s="38" t="n"/>
      <c r="M646" s="38" t="n"/>
      <c r="N646" s="57">
        <f>IF(E646="","",IFERROR(IF(INDEX(Referensi!$B$5:$B$60,MATCH(E646,Referensi!$A$5:$A$60,0))=D646,"OK","Jenis tidak cocok"),"Kategori tidak dikenal"))</f>
        <v/>
      </c>
    </row>
    <row r="647" ht="15" customHeight="1" s="33">
      <c r="A647" s="57">
        <f>IF(B647="","",ROW()-4)</f>
        <v/>
      </c>
      <c r="B647" s="58" t="n"/>
      <c r="C647" s="38" t="n"/>
      <c r="D647" s="38" t="n"/>
      <c r="E647" s="38" t="n"/>
      <c r="F647" s="57">
        <f>IF(E647="","",IFERROR(INDEX(Referensi!$C$5:$C$60,MATCH(E647,Referensi!$A$5:$A$60,0)),"?"))</f>
        <v/>
      </c>
      <c r="G647" s="38" t="n"/>
      <c r="H647" s="59" t="n"/>
      <c r="I647" s="38" t="n"/>
      <c r="J647" s="39" t="n"/>
      <c r="K647" s="60">
        <f>IF(J647="","",SUMIFS(J$5:J647,D$5:D647,"Masuk")-SUMIFS(J$5:J647,D$5:D647,"Keluar"))</f>
        <v/>
      </c>
      <c r="L647" s="38" t="n"/>
      <c r="M647" s="38" t="n"/>
      <c r="N647" s="57">
        <f>IF(E647="","",IFERROR(IF(INDEX(Referensi!$B$5:$B$60,MATCH(E647,Referensi!$A$5:$A$60,0))=D647,"OK","Jenis tidak cocok"),"Kategori tidak dikenal"))</f>
        <v/>
      </c>
    </row>
    <row r="648" ht="15" customHeight="1" s="33">
      <c r="A648" s="57">
        <f>IF(B648="","",ROW()-4)</f>
        <v/>
      </c>
      <c r="B648" s="58" t="n"/>
      <c r="C648" s="38" t="n"/>
      <c r="D648" s="38" t="n"/>
      <c r="E648" s="38" t="n"/>
      <c r="F648" s="57">
        <f>IF(E648="","",IFERROR(INDEX(Referensi!$C$5:$C$60,MATCH(E648,Referensi!$A$5:$A$60,0)),"?"))</f>
        <v/>
      </c>
      <c r="G648" s="38" t="n"/>
      <c r="H648" s="59" t="n"/>
      <c r="I648" s="38" t="n"/>
      <c r="J648" s="39" t="n"/>
      <c r="K648" s="60">
        <f>IF(J648="","",SUMIFS(J$5:J648,D$5:D648,"Masuk")-SUMIFS(J$5:J648,D$5:D648,"Keluar"))</f>
        <v/>
      </c>
      <c r="L648" s="38" t="n"/>
      <c r="M648" s="38" t="n"/>
      <c r="N648" s="57">
        <f>IF(E648="","",IFERROR(IF(INDEX(Referensi!$B$5:$B$60,MATCH(E648,Referensi!$A$5:$A$60,0))=D648,"OK","Jenis tidak cocok"),"Kategori tidak dikenal"))</f>
        <v/>
      </c>
    </row>
    <row r="649" ht="15" customHeight="1" s="33">
      <c r="A649" s="57">
        <f>IF(B649="","",ROW()-4)</f>
        <v/>
      </c>
      <c r="B649" s="58" t="n"/>
      <c r="C649" s="38" t="n"/>
      <c r="D649" s="38" t="n"/>
      <c r="E649" s="38" t="n"/>
      <c r="F649" s="57">
        <f>IF(E649="","",IFERROR(INDEX(Referensi!$C$5:$C$60,MATCH(E649,Referensi!$A$5:$A$60,0)),"?"))</f>
        <v/>
      </c>
      <c r="G649" s="38" t="n"/>
      <c r="H649" s="59" t="n"/>
      <c r="I649" s="38" t="n"/>
      <c r="J649" s="39" t="n"/>
      <c r="K649" s="60">
        <f>IF(J649="","",SUMIFS(J$5:J649,D$5:D649,"Masuk")-SUMIFS(J$5:J649,D$5:D649,"Keluar"))</f>
        <v/>
      </c>
      <c r="L649" s="38" t="n"/>
      <c r="M649" s="38" t="n"/>
      <c r="N649" s="57">
        <f>IF(E649="","",IFERROR(IF(INDEX(Referensi!$B$5:$B$60,MATCH(E649,Referensi!$A$5:$A$60,0))=D649,"OK","Jenis tidak cocok"),"Kategori tidak dikenal"))</f>
        <v/>
      </c>
    </row>
    <row r="650" ht="15" customHeight="1" s="33">
      <c r="A650" s="57">
        <f>IF(B650="","",ROW()-4)</f>
        <v/>
      </c>
      <c r="B650" s="58" t="n"/>
      <c r="C650" s="38" t="n"/>
      <c r="D650" s="38" t="n"/>
      <c r="E650" s="38" t="n"/>
      <c r="F650" s="57">
        <f>IF(E650="","",IFERROR(INDEX(Referensi!$C$5:$C$60,MATCH(E650,Referensi!$A$5:$A$60,0)),"?"))</f>
        <v/>
      </c>
      <c r="G650" s="38" t="n"/>
      <c r="H650" s="59" t="n"/>
      <c r="I650" s="38" t="n"/>
      <c r="J650" s="39" t="n"/>
      <c r="K650" s="60">
        <f>IF(J650="","",SUMIFS(J$5:J650,D$5:D650,"Masuk")-SUMIFS(J$5:J650,D$5:D650,"Keluar"))</f>
        <v/>
      </c>
      <c r="L650" s="38" t="n"/>
      <c r="M650" s="38" t="n"/>
      <c r="N650" s="57">
        <f>IF(E650="","",IFERROR(IF(INDEX(Referensi!$B$5:$B$60,MATCH(E650,Referensi!$A$5:$A$60,0))=D650,"OK","Jenis tidak cocok"),"Kategori tidak dikenal"))</f>
        <v/>
      </c>
    </row>
    <row r="651" ht="15" customHeight="1" s="33">
      <c r="A651" s="57">
        <f>IF(B651="","",ROW()-4)</f>
        <v/>
      </c>
      <c r="B651" s="58" t="n"/>
      <c r="C651" s="38" t="n"/>
      <c r="D651" s="38" t="n"/>
      <c r="E651" s="38" t="n"/>
      <c r="F651" s="57">
        <f>IF(E651="","",IFERROR(INDEX(Referensi!$C$5:$C$60,MATCH(E651,Referensi!$A$5:$A$60,0)),"?"))</f>
        <v/>
      </c>
      <c r="G651" s="38" t="n"/>
      <c r="H651" s="59" t="n"/>
      <c r="I651" s="38" t="n"/>
      <c r="J651" s="39" t="n"/>
      <c r="K651" s="60">
        <f>IF(J651="","",SUMIFS(J$5:J651,D$5:D651,"Masuk")-SUMIFS(J$5:J651,D$5:D651,"Keluar"))</f>
        <v/>
      </c>
      <c r="L651" s="38" t="n"/>
      <c r="M651" s="38" t="n"/>
      <c r="N651" s="57">
        <f>IF(E651="","",IFERROR(IF(INDEX(Referensi!$B$5:$B$60,MATCH(E651,Referensi!$A$5:$A$60,0))=D651,"OK","Jenis tidak cocok"),"Kategori tidak dikenal"))</f>
        <v/>
      </c>
    </row>
    <row r="652" ht="15" customHeight="1" s="33">
      <c r="A652" s="57">
        <f>IF(B652="","",ROW()-4)</f>
        <v/>
      </c>
      <c r="B652" s="58" t="n"/>
      <c r="C652" s="38" t="n"/>
      <c r="D652" s="38" t="n"/>
      <c r="E652" s="38" t="n"/>
      <c r="F652" s="57">
        <f>IF(E652="","",IFERROR(INDEX(Referensi!$C$5:$C$60,MATCH(E652,Referensi!$A$5:$A$60,0)),"?"))</f>
        <v/>
      </c>
      <c r="G652" s="38" t="n"/>
      <c r="H652" s="59" t="n"/>
      <c r="I652" s="38" t="n"/>
      <c r="J652" s="39" t="n"/>
      <c r="K652" s="60">
        <f>IF(J652="","",SUMIFS(J$5:J652,D$5:D652,"Masuk")-SUMIFS(J$5:J652,D$5:D652,"Keluar"))</f>
        <v/>
      </c>
      <c r="L652" s="38" t="n"/>
      <c r="M652" s="38" t="n"/>
      <c r="N652" s="57">
        <f>IF(E652="","",IFERROR(IF(INDEX(Referensi!$B$5:$B$60,MATCH(E652,Referensi!$A$5:$A$60,0))=D652,"OK","Jenis tidak cocok"),"Kategori tidak dikenal"))</f>
        <v/>
      </c>
    </row>
    <row r="653" ht="15" customHeight="1" s="33">
      <c r="A653" s="57">
        <f>IF(B653="","",ROW()-4)</f>
        <v/>
      </c>
      <c r="B653" s="58" t="n"/>
      <c r="C653" s="38" t="n"/>
      <c r="D653" s="38" t="n"/>
      <c r="E653" s="38" t="n"/>
      <c r="F653" s="57">
        <f>IF(E653="","",IFERROR(INDEX(Referensi!$C$5:$C$60,MATCH(E653,Referensi!$A$5:$A$60,0)),"?"))</f>
        <v/>
      </c>
      <c r="G653" s="38" t="n"/>
      <c r="H653" s="59" t="n"/>
      <c r="I653" s="38" t="n"/>
      <c r="J653" s="39" t="n"/>
      <c r="K653" s="60">
        <f>IF(J653="","",SUMIFS(J$5:J653,D$5:D653,"Masuk")-SUMIFS(J$5:J653,D$5:D653,"Keluar"))</f>
        <v/>
      </c>
      <c r="L653" s="38" t="n"/>
      <c r="M653" s="38" t="n"/>
      <c r="N653" s="57">
        <f>IF(E653="","",IFERROR(IF(INDEX(Referensi!$B$5:$B$60,MATCH(E653,Referensi!$A$5:$A$60,0))=D653,"OK","Jenis tidak cocok"),"Kategori tidak dikenal"))</f>
        <v/>
      </c>
    </row>
    <row r="654" ht="15" customHeight="1" s="33">
      <c r="A654" s="57">
        <f>IF(B654="","",ROW()-4)</f>
        <v/>
      </c>
      <c r="B654" s="58" t="n"/>
      <c r="C654" s="38" t="n"/>
      <c r="D654" s="38" t="n"/>
      <c r="E654" s="38" t="n"/>
      <c r="F654" s="57">
        <f>IF(E654="","",IFERROR(INDEX(Referensi!$C$5:$C$60,MATCH(E654,Referensi!$A$5:$A$60,0)),"?"))</f>
        <v/>
      </c>
      <c r="G654" s="38" t="n"/>
      <c r="H654" s="59" t="n"/>
      <c r="I654" s="38" t="n"/>
      <c r="J654" s="39" t="n"/>
      <c r="K654" s="60">
        <f>IF(J654="","",SUMIFS(J$5:J654,D$5:D654,"Masuk")-SUMIFS(J$5:J654,D$5:D654,"Keluar"))</f>
        <v/>
      </c>
      <c r="L654" s="38" t="n"/>
      <c r="M654" s="38" t="n"/>
      <c r="N654" s="57">
        <f>IF(E654="","",IFERROR(IF(INDEX(Referensi!$B$5:$B$60,MATCH(E654,Referensi!$A$5:$A$60,0))=D654,"OK","Jenis tidak cocok"),"Kategori tidak dikenal"))</f>
        <v/>
      </c>
    </row>
    <row r="655" ht="15" customHeight="1" s="33">
      <c r="A655" s="57">
        <f>IF(B655="","",ROW()-4)</f>
        <v/>
      </c>
      <c r="B655" s="58" t="n"/>
      <c r="C655" s="38" t="n"/>
      <c r="D655" s="38" t="n"/>
      <c r="E655" s="38" t="n"/>
      <c r="F655" s="57">
        <f>IF(E655="","",IFERROR(INDEX(Referensi!$C$5:$C$60,MATCH(E655,Referensi!$A$5:$A$60,0)),"?"))</f>
        <v/>
      </c>
      <c r="G655" s="38" t="n"/>
      <c r="H655" s="59" t="n"/>
      <c r="I655" s="38" t="n"/>
      <c r="J655" s="39" t="n"/>
      <c r="K655" s="60">
        <f>IF(J655="","",SUMIFS(J$5:J655,D$5:D655,"Masuk")-SUMIFS(J$5:J655,D$5:D655,"Keluar"))</f>
        <v/>
      </c>
      <c r="L655" s="38" t="n"/>
      <c r="M655" s="38" t="n"/>
      <c r="N655" s="57">
        <f>IF(E655="","",IFERROR(IF(INDEX(Referensi!$B$5:$B$60,MATCH(E655,Referensi!$A$5:$A$60,0))=D655,"OK","Jenis tidak cocok"),"Kategori tidak dikenal"))</f>
        <v/>
      </c>
    </row>
    <row r="656" ht="15" customHeight="1" s="33">
      <c r="A656" s="57">
        <f>IF(B656="","",ROW()-4)</f>
        <v/>
      </c>
      <c r="B656" s="58" t="n"/>
      <c r="C656" s="38" t="n"/>
      <c r="D656" s="38" t="n"/>
      <c r="E656" s="38" t="n"/>
      <c r="F656" s="57">
        <f>IF(E656="","",IFERROR(INDEX(Referensi!$C$5:$C$60,MATCH(E656,Referensi!$A$5:$A$60,0)),"?"))</f>
        <v/>
      </c>
      <c r="G656" s="38" t="n"/>
      <c r="H656" s="59" t="n"/>
      <c r="I656" s="38" t="n"/>
      <c r="J656" s="39" t="n"/>
      <c r="K656" s="60">
        <f>IF(J656="","",SUMIFS(J$5:J656,D$5:D656,"Masuk")-SUMIFS(J$5:J656,D$5:D656,"Keluar"))</f>
        <v/>
      </c>
      <c r="L656" s="38" t="n"/>
      <c r="M656" s="38" t="n"/>
      <c r="N656" s="57">
        <f>IF(E656="","",IFERROR(IF(INDEX(Referensi!$B$5:$B$60,MATCH(E656,Referensi!$A$5:$A$60,0))=D656,"OK","Jenis tidak cocok"),"Kategori tidak dikenal"))</f>
        <v/>
      </c>
    </row>
    <row r="657" ht="15" customHeight="1" s="33">
      <c r="A657" s="57">
        <f>IF(B657="","",ROW()-4)</f>
        <v/>
      </c>
      <c r="B657" s="58" t="n"/>
      <c r="C657" s="38" t="n"/>
      <c r="D657" s="38" t="n"/>
      <c r="E657" s="38" t="n"/>
      <c r="F657" s="57">
        <f>IF(E657="","",IFERROR(INDEX(Referensi!$C$5:$C$60,MATCH(E657,Referensi!$A$5:$A$60,0)),"?"))</f>
        <v/>
      </c>
      <c r="G657" s="38" t="n"/>
      <c r="H657" s="59" t="n"/>
      <c r="I657" s="38" t="n"/>
      <c r="J657" s="39" t="n"/>
      <c r="K657" s="60">
        <f>IF(J657="","",SUMIFS(J$5:J657,D$5:D657,"Masuk")-SUMIFS(J$5:J657,D$5:D657,"Keluar"))</f>
        <v/>
      </c>
      <c r="L657" s="38" t="n"/>
      <c r="M657" s="38" t="n"/>
      <c r="N657" s="57">
        <f>IF(E657="","",IFERROR(IF(INDEX(Referensi!$B$5:$B$60,MATCH(E657,Referensi!$A$5:$A$60,0))=D657,"OK","Jenis tidak cocok"),"Kategori tidak dikenal"))</f>
        <v/>
      </c>
    </row>
    <row r="658" ht="15" customHeight="1" s="33">
      <c r="A658" s="57">
        <f>IF(B658="","",ROW()-4)</f>
        <v/>
      </c>
      <c r="B658" s="58" t="n"/>
      <c r="C658" s="38" t="n"/>
      <c r="D658" s="38" t="n"/>
      <c r="E658" s="38" t="n"/>
      <c r="F658" s="57">
        <f>IF(E658="","",IFERROR(INDEX(Referensi!$C$5:$C$60,MATCH(E658,Referensi!$A$5:$A$60,0)),"?"))</f>
        <v/>
      </c>
      <c r="G658" s="38" t="n"/>
      <c r="H658" s="59" t="n"/>
      <c r="I658" s="38" t="n"/>
      <c r="J658" s="39" t="n"/>
      <c r="K658" s="60">
        <f>IF(J658="","",SUMIFS(J$5:J658,D$5:D658,"Masuk")-SUMIFS(J$5:J658,D$5:D658,"Keluar"))</f>
        <v/>
      </c>
      <c r="L658" s="38" t="n"/>
      <c r="M658" s="38" t="n"/>
      <c r="N658" s="57">
        <f>IF(E658="","",IFERROR(IF(INDEX(Referensi!$B$5:$B$60,MATCH(E658,Referensi!$A$5:$A$60,0))=D658,"OK","Jenis tidak cocok"),"Kategori tidak dikenal"))</f>
        <v/>
      </c>
    </row>
    <row r="659" ht="15" customHeight="1" s="33">
      <c r="A659" s="57">
        <f>IF(B659="","",ROW()-4)</f>
        <v/>
      </c>
      <c r="B659" s="58" t="n"/>
      <c r="C659" s="38" t="n"/>
      <c r="D659" s="38" t="n"/>
      <c r="E659" s="38" t="n"/>
      <c r="F659" s="57">
        <f>IF(E659="","",IFERROR(INDEX(Referensi!$C$5:$C$60,MATCH(E659,Referensi!$A$5:$A$60,0)),"?"))</f>
        <v/>
      </c>
      <c r="G659" s="38" t="n"/>
      <c r="H659" s="59" t="n"/>
      <c r="I659" s="38" t="n"/>
      <c r="J659" s="39" t="n"/>
      <c r="K659" s="60">
        <f>IF(J659="","",SUMIFS(J$5:J659,D$5:D659,"Masuk")-SUMIFS(J$5:J659,D$5:D659,"Keluar"))</f>
        <v/>
      </c>
      <c r="L659" s="38" t="n"/>
      <c r="M659" s="38" t="n"/>
      <c r="N659" s="57">
        <f>IF(E659="","",IFERROR(IF(INDEX(Referensi!$B$5:$B$60,MATCH(E659,Referensi!$A$5:$A$60,0))=D659,"OK","Jenis tidak cocok"),"Kategori tidak dikenal"))</f>
        <v/>
      </c>
    </row>
    <row r="660" ht="15" customHeight="1" s="33">
      <c r="A660" s="57">
        <f>IF(B660="","",ROW()-4)</f>
        <v/>
      </c>
      <c r="B660" s="58" t="n"/>
      <c r="C660" s="38" t="n"/>
      <c r="D660" s="38" t="n"/>
      <c r="E660" s="38" t="n"/>
      <c r="F660" s="57">
        <f>IF(E660="","",IFERROR(INDEX(Referensi!$C$5:$C$60,MATCH(E660,Referensi!$A$5:$A$60,0)),"?"))</f>
        <v/>
      </c>
      <c r="G660" s="38" t="n"/>
      <c r="H660" s="59" t="n"/>
      <c r="I660" s="38" t="n"/>
      <c r="J660" s="39" t="n"/>
      <c r="K660" s="60">
        <f>IF(J660="","",SUMIFS(J$5:J660,D$5:D660,"Masuk")-SUMIFS(J$5:J660,D$5:D660,"Keluar"))</f>
        <v/>
      </c>
      <c r="L660" s="38" t="n"/>
      <c r="M660" s="38" t="n"/>
      <c r="N660" s="57">
        <f>IF(E660="","",IFERROR(IF(INDEX(Referensi!$B$5:$B$60,MATCH(E660,Referensi!$A$5:$A$60,0))=D660,"OK","Jenis tidak cocok"),"Kategori tidak dikenal"))</f>
        <v/>
      </c>
    </row>
    <row r="661" ht="15" customHeight="1" s="33">
      <c r="A661" s="57">
        <f>IF(B661="","",ROW()-4)</f>
        <v/>
      </c>
      <c r="B661" s="58" t="n"/>
      <c r="C661" s="38" t="n"/>
      <c r="D661" s="38" t="n"/>
      <c r="E661" s="38" t="n"/>
      <c r="F661" s="57">
        <f>IF(E661="","",IFERROR(INDEX(Referensi!$C$5:$C$60,MATCH(E661,Referensi!$A$5:$A$60,0)),"?"))</f>
        <v/>
      </c>
      <c r="G661" s="38" t="n"/>
      <c r="H661" s="59" t="n"/>
      <c r="I661" s="38" t="n"/>
      <c r="J661" s="39" t="n"/>
      <c r="K661" s="60">
        <f>IF(J661="","",SUMIFS(J$5:J661,D$5:D661,"Masuk")-SUMIFS(J$5:J661,D$5:D661,"Keluar"))</f>
        <v/>
      </c>
      <c r="L661" s="38" t="n"/>
      <c r="M661" s="38" t="n"/>
      <c r="N661" s="57">
        <f>IF(E661="","",IFERROR(IF(INDEX(Referensi!$B$5:$B$60,MATCH(E661,Referensi!$A$5:$A$60,0))=D661,"OK","Jenis tidak cocok"),"Kategori tidak dikenal"))</f>
        <v/>
      </c>
    </row>
    <row r="662" ht="15" customHeight="1" s="33">
      <c r="A662" s="57">
        <f>IF(B662="","",ROW()-4)</f>
        <v/>
      </c>
      <c r="B662" s="58" t="n"/>
      <c r="C662" s="38" t="n"/>
      <c r="D662" s="38" t="n"/>
      <c r="E662" s="38" t="n"/>
      <c r="F662" s="57">
        <f>IF(E662="","",IFERROR(INDEX(Referensi!$C$5:$C$60,MATCH(E662,Referensi!$A$5:$A$60,0)),"?"))</f>
        <v/>
      </c>
      <c r="G662" s="38" t="n"/>
      <c r="H662" s="59" t="n"/>
      <c r="I662" s="38" t="n"/>
      <c r="J662" s="39" t="n"/>
      <c r="K662" s="60">
        <f>IF(J662="","",SUMIFS(J$5:J662,D$5:D662,"Masuk")-SUMIFS(J$5:J662,D$5:D662,"Keluar"))</f>
        <v/>
      </c>
      <c r="L662" s="38" t="n"/>
      <c r="M662" s="38" t="n"/>
      <c r="N662" s="57">
        <f>IF(E662="","",IFERROR(IF(INDEX(Referensi!$B$5:$B$60,MATCH(E662,Referensi!$A$5:$A$60,0))=D662,"OK","Jenis tidak cocok"),"Kategori tidak dikenal"))</f>
        <v/>
      </c>
    </row>
    <row r="663" ht="15" customHeight="1" s="33">
      <c r="A663" s="57">
        <f>IF(B663="","",ROW()-4)</f>
        <v/>
      </c>
      <c r="B663" s="58" t="n"/>
      <c r="C663" s="38" t="n"/>
      <c r="D663" s="38" t="n"/>
      <c r="E663" s="38" t="n"/>
      <c r="F663" s="57">
        <f>IF(E663="","",IFERROR(INDEX(Referensi!$C$5:$C$60,MATCH(E663,Referensi!$A$5:$A$60,0)),"?"))</f>
        <v/>
      </c>
      <c r="G663" s="38" t="n"/>
      <c r="H663" s="59" t="n"/>
      <c r="I663" s="38" t="n"/>
      <c r="J663" s="39" t="n"/>
      <c r="K663" s="60">
        <f>IF(J663="","",SUMIFS(J$5:J663,D$5:D663,"Masuk")-SUMIFS(J$5:J663,D$5:D663,"Keluar"))</f>
        <v/>
      </c>
      <c r="L663" s="38" t="n"/>
      <c r="M663" s="38" t="n"/>
      <c r="N663" s="57">
        <f>IF(E663="","",IFERROR(IF(INDEX(Referensi!$B$5:$B$60,MATCH(E663,Referensi!$A$5:$A$60,0))=D663,"OK","Jenis tidak cocok"),"Kategori tidak dikenal"))</f>
        <v/>
      </c>
    </row>
    <row r="664" ht="15" customHeight="1" s="33">
      <c r="A664" s="57">
        <f>IF(B664="","",ROW()-4)</f>
        <v/>
      </c>
      <c r="B664" s="58" t="n"/>
      <c r="C664" s="38" t="n"/>
      <c r="D664" s="38" t="n"/>
      <c r="E664" s="38" t="n"/>
      <c r="F664" s="57">
        <f>IF(E664="","",IFERROR(INDEX(Referensi!$C$5:$C$60,MATCH(E664,Referensi!$A$5:$A$60,0)),"?"))</f>
        <v/>
      </c>
      <c r="G664" s="38" t="n"/>
      <c r="H664" s="59" t="n"/>
      <c r="I664" s="38" t="n"/>
      <c r="J664" s="39" t="n"/>
      <c r="K664" s="60">
        <f>IF(J664="","",SUMIFS(J$5:J664,D$5:D664,"Masuk")-SUMIFS(J$5:J664,D$5:D664,"Keluar"))</f>
        <v/>
      </c>
      <c r="L664" s="38" t="n"/>
      <c r="M664" s="38" t="n"/>
      <c r="N664" s="57">
        <f>IF(E664="","",IFERROR(IF(INDEX(Referensi!$B$5:$B$60,MATCH(E664,Referensi!$A$5:$A$60,0))=D664,"OK","Jenis tidak cocok"),"Kategori tidak dikenal"))</f>
        <v/>
      </c>
    </row>
    <row r="665" ht="15" customHeight="1" s="33">
      <c r="A665" s="57">
        <f>IF(B665="","",ROW()-4)</f>
        <v/>
      </c>
      <c r="B665" s="58" t="n"/>
      <c r="C665" s="38" t="n"/>
      <c r="D665" s="38" t="n"/>
      <c r="E665" s="38" t="n"/>
      <c r="F665" s="57">
        <f>IF(E665="","",IFERROR(INDEX(Referensi!$C$5:$C$60,MATCH(E665,Referensi!$A$5:$A$60,0)),"?"))</f>
        <v/>
      </c>
      <c r="G665" s="38" t="n"/>
      <c r="H665" s="59" t="n"/>
      <c r="I665" s="38" t="n"/>
      <c r="J665" s="39" t="n"/>
      <c r="K665" s="60">
        <f>IF(J665="","",SUMIFS(J$5:J665,D$5:D665,"Masuk")-SUMIFS(J$5:J665,D$5:D665,"Keluar"))</f>
        <v/>
      </c>
      <c r="L665" s="38" t="n"/>
      <c r="M665" s="38" t="n"/>
      <c r="N665" s="57">
        <f>IF(E665="","",IFERROR(IF(INDEX(Referensi!$B$5:$B$60,MATCH(E665,Referensi!$A$5:$A$60,0))=D665,"OK","Jenis tidak cocok"),"Kategori tidak dikenal"))</f>
        <v/>
      </c>
    </row>
    <row r="666" ht="15" customHeight="1" s="33">
      <c r="A666" s="57">
        <f>IF(B666="","",ROW()-4)</f>
        <v/>
      </c>
      <c r="B666" s="58" t="n"/>
      <c r="C666" s="38" t="n"/>
      <c r="D666" s="38" t="n"/>
      <c r="E666" s="38" t="n"/>
      <c r="F666" s="57">
        <f>IF(E666="","",IFERROR(INDEX(Referensi!$C$5:$C$60,MATCH(E666,Referensi!$A$5:$A$60,0)),"?"))</f>
        <v/>
      </c>
      <c r="G666" s="38" t="n"/>
      <c r="H666" s="59" t="n"/>
      <c r="I666" s="38" t="n"/>
      <c r="J666" s="39" t="n"/>
      <c r="K666" s="60">
        <f>IF(J666="","",SUMIFS(J$5:J666,D$5:D666,"Masuk")-SUMIFS(J$5:J666,D$5:D666,"Keluar"))</f>
        <v/>
      </c>
      <c r="L666" s="38" t="n"/>
      <c r="M666" s="38" t="n"/>
      <c r="N666" s="57">
        <f>IF(E666="","",IFERROR(IF(INDEX(Referensi!$B$5:$B$60,MATCH(E666,Referensi!$A$5:$A$60,0))=D666,"OK","Jenis tidak cocok"),"Kategori tidak dikenal"))</f>
        <v/>
      </c>
    </row>
    <row r="667" ht="15" customHeight="1" s="33">
      <c r="A667" s="57">
        <f>IF(B667="","",ROW()-4)</f>
        <v/>
      </c>
      <c r="B667" s="58" t="n"/>
      <c r="C667" s="38" t="n"/>
      <c r="D667" s="38" t="n"/>
      <c r="E667" s="38" t="n"/>
      <c r="F667" s="57">
        <f>IF(E667="","",IFERROR(INDEX(Referensi!$C$5:$C$60,MATCH(E667,Referensi!$A$5:$A$60,0)),"?"))</f>
        <v/>
      </c>
      <c r="G667" s="38" t="n"/>
      <c r="H667" s="59" t="n"/>
      <c r="I667" s="38" t="n"/>
      <c r="J667" s="39" t="n"/>
      <c r="K667" s="60">
        <f>IF(J667="","",SUMIFS(J$5:J667,D$5:D667,"Masuk")-SUMIFS(J$5:J667,D$5:D667,"Keluar"))</f>
        <v/>
      </c>
      <c r="L667" s="38" t="n"/>
      <c r="M667" s="38" t="n"/>
      <c r="N667" s="57">
        <f>IF(E667="","",IFERROR(IF(INDEX(Referensi!$B$5:$B$60,MATCH(E667,Referensi!$A$5:$A$60,0))=D667,"OK","Jenis tidak cocok"),"Kategori tidak dikenal"))</f>
        <v/>
      </c>
    </row>
    <row r="668" ht="15" customHeight="1" s="33">
      <c r="A668" s="57">
        <f>IF(B668="","",ROW()-4)</f>
        <v/>
      </c>
      <c r="B668" s="58" t="n"/>
      <c r="C668" s="38" t="n"/>
      <c r="D668" s="38" t="n"/>
      <c r="E668" s="38" t="n"/>
      <c r="F668" s="57">
        <f>IF(E668="","",IFERROR(INDEX(Referensi!$C$5:$C$60,MATCH(E668,Referensi!$A$5:$A$60,0)),"?"))</f>
        <v/>
      </c>
      <c r="G668" s="38" t="n"/>
      <c r="H668" s="59" t="n"/>
      <c r="I668" s="38" t="n"/>
      <c r="J668" s="39" t="n"/>
      <c r="K668" s="60">
        <f>IF(J668="","",SUMIFS(J$5:J668,D$5:D668,"Masuk")-SUMIFS(J$5:J668,D$5:D668,"Keluar"))</f>
        <v/>
      </c>
      <c r="L668" s="38" t="n"/>
      <c r="M668" s="38" t="n"/>
      <c r="N668" s="57">
        <f>IF(E668="","",IFERROR(IF(INDEX(Referensi!$B$5:$B$60,MATCH(E668,Referensi!$A$5:$A$60,0))=D668,"OK","Jenis tidak cocok"),"Kategori tidak dikenal"))</f>
        <v/>
      </c>
    </row>
    <row r="669" ht="15" customHeight="1" s="33">
      <c r="A669" s="57">
        <f>IF(B669="","",ROW()-4)</f>
        <v/>
      </c>
      <c r="B669" s="58" t="n"/>
      <c r="C669" s="38" t="n"/>
      <c r="D669" s="38" t="n"/>
      <c r="E669" s="38" t="n"/>
      <c r="F669" s="57">
        <f>IF(E669="","",IFERROR(INDEX(Referensi!$C$5:$C$60,MATCH(E669,Referensi!$A$5:$A$60,0)),"?"))</f>
        <v/>
      </c>
      <c r="G669" s="38" t="n"/>
      <c r="H669" s="59" t="n"/>
      <c r="I669" s="38" t="n"/>
      <c r="J669" s="39" t="n"/>
      <c r="K669" s="60">
        <f>IF(J669="","",SUMIFS(J$5:J669,D$5:D669,"Masuk")-SUMIFS(J$5:J669,D$5:D669,"Keluar"))</f>
        <v/>
      </c>
      <c r="L669" s="38" t="n"/>
      <c r="M669" s="38" t="n"/>
      <c r="N669" s="57">
        <f>IF(E669="","",IFERROR(IF(INDEX(Referensi!$B$5:$B$60,MATCH(E669,Referensi!$A$5:$A$60,0))=D669,"OK","Jenis tidak cocok"),"Kategori tidak dikenal"))</f>
        <v/>
      </c>
    </row>
    <row r="670" ht="15" customHeight="1" s="33">
      <c r="A670" s="57">
        <f>IF(B670="","",ROW()-4)</f>
        <v/>
      </c>
      <c r="B670" s="58" t="n"/>
      <c r="C670" s="38" t="n"/>
      <c r="D670" s="38" t="n"/>
      <c r="E670" s="38" t="n"/>
      <c r="F670" s="57">
        <f>IF(E670="","",IFERROR(INDEX(Referensi!$C$5:$C$60,MATCH(E670,Referensi!$A$5:$A$60,0)),"?"))</f>
        <v/>
      </c>
      <c r="G670" s="38" t="n"/>
      <c r="H670" s="59" t="n"/>
      <c r="I670" s="38" t="n"/>
      <c r="J670" s="39" t="n"/>
      <c r="K670" s="60">
        <f>IF(J670="","",SUMIFS(J$5:J670,D$5:D670,"Masuk")-SUMIFS(J$5:J670,D$5:D670,"Keluar"))</f>
        <v/>
      </c>
      <c r="L670" s="38" t="n"/>
      <c r="M670" s="38" t="n"/>
      <c r="N670" s="57">
        <f>IF(E670="","",IFERROR(IF(INDEX(Referensi!$B$5:$B$60,MATCH(E670,Referensi!$A$5:$A$60,0))=D670,"OK","Jenis tidak cocok"),"Kategori tidak dikenal"))</f>
        <v/>
      </c>
    </row>
    <row r="671" ht="15" customHeight="1" s="33">
      <c r="A671" s="57">
        <f>IF(B671="","",ROW()-4)</f>
        <v/>
      </c>
      <c r="B671" s="58" t="n"/>
      <c r="C671" s="38" t="n"/>
      <c r="D671" s="38" t="n"/>
      <c r="E671" s="38" t="n"/>
      <c r="F671" s="57">
        <f>IF(E671="","",IFERROR(INDEX(Referensi!$C$5:$C$60,MATCH(E671,Referensi!$A$5:$A$60,0)),"?"))</f>
        <v/>
      </c>
      <c r="G671" s="38" t="n"/>
      <c r="H671" s="59" t="n"/>
      <c r="I671" s="38" t="n"/>
      <c r="J671" s="39" t="n"/>
      <c r="K671" s="60">
        <f>IF(J671="","",SUMIFS(J$5:J671,D$5:D671,"Masuk")-SUMIFS(J$5:J671,D$5:D671,"Keluar"))</f>
        <v/>
      </c>
      <c r="L671" s="38" t="n"/>
      <c r="M671" s="38" t="n"/>
      <c r="N671" s="57">
        <f>IF(E671="","",IFERROR(IF(INDEX(Referensi!$B$5:$B$60,MATCH(E671,Referensi!$A$5:$A$60,0))=D671,"OK","Jenis tidak cocok"),"Kategori tidak dikenal"))</f>
        <v/>
      </c>
    </row>
    <row r="672" ht="15" customHeight="1" s="33">
      <c r="A672" s="57">
        <f>IF(B672="","",ROW()-4)</f>
        <v/>
      </c>
      <c r="B672" s="58" t="n"/>
      <c r="C672" s="38" t="n"/>
      <c r="D672" s="38" t="n"/>
      <c r="E672" s="38" t="n"/>
      <c r="F672" s="57">
        <f>IF(E672="","",IFERROR(INDEX(Referensi!$C$5:$C$60,MATCH(E672,Referensi!$A$5:$A$60,0)),"?"))</f>
        <v/>
      </c>
      <c r="G672" s="38" t="n"/>
      <c r="H672" s="59" t="n"/>
      <c r="I672" s="38" t="n"/>
      <c r="J672" s="39" t="n"/>
      <c r="K672" s="60">
        <f>IF(J672="","",SUMIFS(J$5:J672,D$5:D672,"Masuk")-SUMIFS(J$5:J672,D$5:D672,"Keluar"))</f>
        <v/>
      </c>
      <c r="L672" s="38" t="n"/>
      <c r="M672" s="38" t="n"/>
      <c r="N672" s="57">
        <f>IF(E672="","",IFERROR(IF(INDEX(Referensi!$B$5:$B$60,MATCH(E672,Referensi!$A$5:$A$60,0))=D672,"OK","Jenis tidak cocok"),"Kategori tidak dikenal"))</f>
        <v/>
      </c>
    </row>
    <row r="673" ht="15" customHeight="1" s="33">
      <c r="A673" s="57">
        <f>IF(B673="","",ROW()-4)</f>
        <v/>
      </c>
      <c r="B673" s="58" t="n"/>
      <c r="C673" s="38" t="n"/>
      <c r="D673" s="38" t="n"/>
      <c r="E673" s="38" t="n"/>
      <c r="F673" s="57">
        <f>IF(E673="","",IFERROR(INDEX(Referensi!$C$5:$C$60,MATCH(E673,Referensi!$A$5:$A$60,0)),"?"))</f>
        <v/>
      </c>
      <c r="G673" s="38" t="n"/>
      <c r="H673" s="59" t="n"/>
      <c r="I673" s="38" t="n"/>
      <c r="J673" s="39" t="n"/>
      <c r="K673" s="60">
        <f>IF(J673="","",SUMIFS(J$5:J673,D$5:D673,"Masuk")-SUMIFS(J$5:J673,D$5:D673,"Keluar"))</f>
        <v/>
      </c>
      <c r="L673" s="38" t="n"/>
      <c r="M673" s="38" t="n"/>
      <c r="N673" s="57">
        <f>IF(E673="","",IFERROR(IF(INDEX(Referensi!$B$5:$B$60,MATCH(E673,Referensi!$A$5:$A$60,0))=D673,"OK","Jenis tidak cocok"),"Kategori tidak dikenal"))</f>
        <v/>
      </c>
    </row>
    <row r="674" ht="15" customHeight="1" s="33">
      <c r="A674" s="57">
        <f>IF(B674="","",ROW()-4)</f>
        <v/>
      </c>
      <c r="B674" s="58" t="n"/>
      <c r="C674" s="38" t="n"/>
      <c r="D674" s="38" t="n"/>
      <c r="E674" s="38" t="n"/>
      <c r="F674" s="57">
        <f>IF(E674="","",IFERROR(INDEX(Referensi!$C$5:$C$60,MATCH(E674,Referensi!$A$5:$A$60,0)),"?"))</f>
        <v/>
      </c>
      <c r="G674" s="38" t="n"/>
      <c r="H674" s="59" t="n"/>
      <c r="I674" s="38" t="n"/>
      <c r="J674" s="39" t="n"/>
      <c r="K674" s="60">
        <f>IF(J674="","",SUMIFS(J$5:J674,D$5:D674,"Masuk")-SUMIFS(J$5:J674,D$5:D674,"Keluar"))</f>
        <v/>
      </c>
      <c r="L674" s="38" t="n"/>
      <c r="M674" s="38" t="n"/>
      <c r="N674" s="57">
        <f>IF(E674="","",IFERROR(IF(INDEX(Referensi!$B$5:$B$60,MATCH(E674,Referensi!$A$5:$A$60,0))=D674,"OK","Jenis tidak cocok"),"Kategori tidak dikenal"))</f>
        <v/>
      </c>
    </row>
    <row r="675" ht="15" customHeight="1" s="33">
      <c r="A675" s="57">
        <f>IF(B675="","",ROW()-4)</f>
        <v/>
      </c>
      <c r="B675" s="58" t="n"/>
      <c r="C675" s="38" t="n"/>
      <c r="D675" s="38" t="n"/>
      <c r="E675" s="38" t="n"/>
      <c r="F675" s="57">
        <f>IF(E675="","",IFERROR(INDEX(Referensi!$C$5:$C$60,MATCH(E675,Referensi!$A$5:$A$60,0)),"?"))</f>
        <v/>
      </c>
      <c r="G675" s="38" t="n"/>
      <c r="H675" s="59" t="n"/>
      <c r="I675" s="38" t="n"/>
      <c r="J675" s="39" t="n"/>
      <c r="K675" s="60">
        <f>IF(J675="","",SUMIFS(J$5:J675,D$5:D675,"Masuk")-SUMIFS(J$5:J675,D$5:D675,"Keluar"))</f>
        <v/>
      </c>
      <c r="L675" s="38" t="n"/>
      <c r="M675" s="38" t="n"/>
      <c r="N675" s="57">
        <f>IF(E675="","",IFERROR(IF(INDEX(Referensi!$B$5:$B$60,MATCH(E675,Referensi!$A$5:$A$60,0))=D675,"OK","Jenis tidak cocok"),"Kategori tidak dikenal"))</f>
        <v/>
      </c>
    </row>
    <row r="676" ht="15" customHeight="1" s="33">
      <c r="A676" s="57">
        <f>IF(B676="","",ROW()-4)</f>
        <v/>
      </c>
      <c r="B676" s="58" t="n"/>
      <c r="C676" s="38" t="n"/>
      <c r="D676" s="38" t="n"/>
      <c r="E676" s="38" t="n"/>
      <c r="F676" s="57">
        <f>IF(E676="","",IFERROR(INDEX(Referensi!$C$5:$C$60,MATCH(E676,Referensi!$A$5:$A$60,0)),"?"))</f>
        <v/>
      </c>
      <c r="G676" s="38" t="n"/>
      <c r="H676" s="59" t="n"/>
      <c r="I676" s="38" t="n"/>
      <c r="J676" s="39" t="n"/>
      <c r="K676" s="60">
        <f>IF(J676="","",SUMIFS(J$5:J676,D$5:D676,"Masuk")-SUMIFS(J$5:J676,D$5:D676,"Keluar"))</f>
        <v/>
      </c>
      <c r="L676" s="38" t="n"/>
      <c r="M676" s="38" t="n"/>
      <c r="N676" s="57">
        <f>IF(E676="","",IFERROR(IF(INDEX(Referensi!$B$5:$B$60,MATCH(E676,Referensi!$A$5:$A$60,0))=D676,"OK","Jenis tidak cocok"),"Kategori tidak dikenal"))</f>
        <v/>
      </c>
    </row>
    <row r="677" ht="15" customHeight="1" s="33">
      <c r="A677" s="57">
        <f>IF(B677="","",ROW()-4)</f>
        <v/>
      </c>
      <c r="B677" s="58" t="n"/>
      <c r="C677" s="38" t="n"/>
      <c r="D677" s="38" t="n"/>
      <c r="E677" s="38" t="n"/>
      <c r="F677" s="57">
        <f>IF(E677="","",IFERROR(INDEX(Referensi!$C$5:$C$60,MATCH(E677,Referensi!$A$5:$A$60,0)),"?"))</f>
        <v/>
      </c>
      <c r="G677" s="38" t="n"/>
      <c r="H677" s="59" t="n"/>
      <c r="I677" s="38" t="n"/>
      <c r="J677" s="39" t="n"/>
      <c r="K677" s="60">
        <f>IF(J677="","",SUMIFS(J$5:J677,D$5:D677,"Masuk")-SUMIFS(J$5:J677,D$5:D677,"Keluar"))</f>
        <v/>
      </c>
      <c r="L677" s="38" t="n"/>
      <c r="M677" s="38" t="n"/>
      <c r="N677" s="57">
        <f>IF(E677="","",IFERROR(IF(INDEX(Referensi!$B$5:$B$60,MATCH(E677,Referensi!$A$5:$A$60,0))=D677,"OK","Jenis tidak cocok"),"Kategori tidak dikenal"))</f>
        <v/>
      </c>
    </row>
    <row r="678" ht="15" customHeight="1" s="33">
      <c r="A678" s="57">
        <f>IF(B678="","",ROW()-4)</f>
        <v/>
      </c>
      <c r="B678" s="58" t="n"/>
      <c r="C678" s="38" t="n"/>
      <c r="D678" s="38" t="n"/>
      <c r="E678" s="38" t="n"/>
      <c r="F678" s="57">
        <f>IF(E678="","",IFERROR(INDEX(Referensi!$C$5:$C$60,MATCH(E678,Referensi!$A$5:$A$60,0)),"?"))</f>
        <v/>
      </c>
      <c r="G678" s="38" t="n"/>
      <c r="H678" s="59" t="n"/>
      <c r="I678" s="38" t="n"/>
      <c r="J678" s="39" t="n"/>
      <c r="K678" s="60">
        <f>IF(J678="","",SUMIFS(J$5:J678,D$5:D678,"Masuk")-SUMIFS(J$5:J678,D$5:D678,"Keluar"))</f>
        <v/>
      </c>
      <c r="L678" s="38" t="n"/>
      <c r="M678" s="38" t="n"/>
      <c r="N678" s="57">
        <f>IF(E678="","",IFERROR(IF(INDEX(Referensi!$B$5:$B$60,MATCH(E678,Referensi!$A$5:$A$60,0))=D678,"OK","Jenis tidak cocok"),"Kategori tidak dikenal"))</f>
        <v/>
      </c>
    </row>
    <row r="679" ht="15" customHeight="1" s="33">
      <c r="A679" s="57">
        <f>IF(B679="","",ROW()-4)</f>
        <v/>
      </c>
      <c r="B679" s="58" t="n"/>
      <c r="C679" s="38" t="n"/>
      <c r="D679" s="38" t="n"/>
      <c r="E679" s="38" t="n"/>
      <c r="F679" s="57">
        <f>IF(E679="","",IFERROR(INDEX(Referensi!$C$5:$C$60,MATCH(E679,Referensi!$A$5:$A$60,0)),"?"))</f>
        <v/>
      </c>
      <c r="G679" s="38" t="n"/>
      <c r="H679" s="59" t="n"/>
      <c r="I679" s="38" t="n"/>
      <c r="J679" s="39" t="n"/>
      <c r="K679" s="60">
        <f>IF(J679="","",SUMIFS(J$5:J679,D$5:D679,"Masuk")-SUMIFS(J$5:J679,D$5:D679,"Keluar"))</f>
        <v/>
      </c>
      <c r="L679" s="38" t="n"/>
      <c r="M679" s="38" t="n"/>
      <c r="N679" s="57">
        <f>IF(E679="","",IFERROR(IF(INDEX(Referensi!$B$5:$B$60,MATCH(E679,Referensi!$A$5:$A$60,0))=D679,"OK","Jenis tidak cocok"),"Kategori tidak dikenal"))</f>
        <v/>
      </c>
    </row>
    <row r="680" ht="15" customHeight="1" s="33">
      <c r="A680" s="57">
        <f>IF(B680="","",ROW()-4)</f>
        <v/>
      </c>
      <c r="B680" s="58" t="n"/>
      <c r="C680" s="38" t="n"/>
      <c r="D680" s="38" t="n"/>
      <c r="E680" s="38" t="n"/>
      <c r="F680" s="57">
        <f>IF(E680="","",IFERROR(INDEX(Referensi!$C$5:$C$60,MATCH(E680,Referensi!$A$5:$A$60,0)),"?"))</f>
        <v/>
      </c>
      <c r="G680" s="38" t="n"/>
      <c r="H680" s="59" t="n"/>
      <c r="I680" s="38" t="n"/>
      <c r="J680" s="39" t="n"/>
      <c r="K680" s="60">
        <f>IF(J680="","",SUMIFS(J$5:J680,D$5:D680,"Masuk")-SUMIFS(J$5:J680,D$5:D680,"Keluar"))</f>
        <v/>
      </c>
      <c r="L680" s="38" t="n"/>
      <c r="M680" s="38" t="n"/>
      <c r="N680" s="57">
        <f>IF(E680="","",IFERROR(IF(INDEX(Referensi!$B$5:$B$60,MATCH(E680,Referensi!$A$5:$A$60,0))=D680,"OK","Jenis tidak cocok"),"Kategori tidak dikenal"))</f>
        <v/>
      </c>
    </row>
    <row r="681" ht="15" customHeight="1" s="33">
      <c r="A681" s="57">
        <f>IF(B681="","",ROW()-4)</f>
        <v/>
      </c>
      <c r="B681" s="58" t="n"/>
      <c r="C681" s="38" t="n"/>
      <c r="D681" s="38" t="n"/>
      <c r="E681" s="38" t="n"/>
      <c r="F681" s="57">
        <f>IF(E681="","",IFERROR(INDEX(Referensi!$C$5:$C$60,MATCH(E681,Referensi!$A$5:$A$60,0)),"?"))</f>
        <v/>
      </c>
      <c r="G681" s="38" t="n"/>
      <c r="H681" s="59" t="n"/>
      <c r="I681" s="38" t="n"/>
      <c r="J681" s="39" t="n"/>
      <c r="K681" s="60">
        <f>IF(J681="","",SUMIFS(J$5:J681,D$5:D681,"Masuk")-SUMIFS(J$5:J681,D$5:D681,"Keluar"))</f>
        <v/>
      </c>
      <c r="L681" s="38" t="n"/>
      <c r="M681" s="38" t="n"/>
      <c r="N681" s="57">
        <f>IF(E681="","",IFERROR(IF(INDEX(Referensi!$B$5:$B$60,MATCH(E681,Referensi!$A$5:$A$60,0))=D681,"OK","Jenis tidak cocok"),"Kategori tidak dikenal"))</f>
        <v/>
      </c>
    </row>
    <row r="682" ht="15" customHeight="1" s="33">
      <c r="A682" s="57">
        <f>IF(B682="","",ROW()-4)</f>
        <v/>
      </c>
      <c r="B682" s="58" t="n"/>
      <c r="C682" s="38" t="n"/>
      <c r="D682" s="38" t="n"/>
      <c r="E682" s="38" t="n"/>
      <c r="F682" s="57">
        <f>IF(E682="","",IFERROR(INDEX(Referensi!$C$5:$C$60,MATCH(E682,Referensi!$A$5:$A$60,0)),"?"))</f>
        <v/>
      </c>
      <c r="G682" s="38" t="n"/>
      <c r="H682" s="59" t="n"/>
      <c r="I682" s="38" t="n"/>
      <c r="J682" s="39" t="n"/>
      <c r="K682" s="60">
        <f>IF(J682="","",SUMIFS(J$5:J682,D$5:D682,"Masuk")-SUMIFS(J$5:J682,D$5:D682,"Keluar"))</f>
        <v/>
      </c>
      <c r="L682" s="38" t="n"/>
      <c r="M682" s="38" t="n"/>
      <c r="N682" s="57">
        <f>IF(E682="","",IFERROR(IF(INDEX(Referensi!$B$5:$B$60,MATCH(E682,Referensi!$A$5:$A$60,0))=D682,"OK","Jenis tidak cocok"),"Kategori tidak dikenal"))</f>
        <v/>
      </c>
    </row>
    <row r="683" ht="15" customHeight="1" s="33">
      <c r="A683" s="57">
        <f>IF(B683="","",ROW()-4)</f>
        <v/>
      </c>
      <c r="B683" s="58" t="n"/>
      <c r="C683" s="38" t="n"/>
      <c r="D683" s="38" t="n"/>
      <c r="E683" s="38" t="n"/>
      <c r="F683" s="57">
        <f>IF(E683="","",IFERROR(INDEX(Referensi!$C$5:$C$60,MATCH(E683,Referensi!$A$5:$A$60,0)),"?"))</f>
        <v/>
      </c>
      <c r="G683" s="38" t="n"/>
      <c r="H683" s="59" t="n"/>
      <c r="I683" s="38" t="n"/>
      <c r="J683" s="39" t="n"/>
      <c r="K683" s="60">
        <f>IF(J683="","",SUMIFS(J$5:J683,D$5:D683,"Masuk")-SUMIFS(J$5:J683,D$5:D683,"Keluar"))</f>
        <v/>
      </c>
      <c r="L683" s="38" t="n"/>
      <c r="M683" s="38" t="n"/>
      <c r="N683" s="57">
        <f>IF(E683="","",IFERROR(IF(INDEX(Referensi!$B$5:$B$60,MATCH(E683,Referensi!$A$5:$A$60,0))=D683,"OK","Jenis tidak cocok"),"Kategori tidak dikenal"))</f>
        <v/>
      </c>
    </row>
    <row r="684" ht="15" customHeight="1" s="33">
      <c r="A684" s="57">
        <f>IF(B684="","",ROW()-4)</f>
        <v/>
      </c>
      <c r="B684" s="58" t="n"/>
      <c r="C684" s="38" t="n"/>
      <c r="D684" s="38" t="n"/>
      <c r="E684" s="38" t="n"/>
      <c r="F684" s="57">
        <f>IF(E684="","",IFERROR(INDEX(Referensi!$C$5:$C$60,MATCH(E684,Referensi!$A$5:$A$60,0)),"?"))</f>
        <v/>
      </c>
      <c r="G684" s="38" t="n"/>
      <c r="H684" s="59" t="n"/>
      <c r="I684" s="38" t="n"/>
      <c r="J684" s="39" t="n"/>
      <c r="K684" s="60">
        <f>IF(J684="","",SUMIFS(J$5:J684,D$5:D684,"Masuk")-SUMIFS(J$5:J684,D$5:D684,"Keluar"))</f>
        <v/>
      </c>
      <c r="L684" s="38" t="n"/>
      <c r="M684" s="38" t="n"/>
      <c r="N684" s="57">
        <f>IF(E684="","",IFERROR(IF(INDEX(Referensi!$B$5:$B$60,MATCH(E684,Referensi!$A$5:$A$60,0))=D684,"OK","Jenis tidak cocok"),"Kategori tidak dikenal"))</f>
        <v/>
      </c>
    </row>
    <row r="685" ht="15" customHeight="1" s="33">
      <c r="A685" s="57">
        <f>IF(B685="","",ROW()-4)</f>
        <v/>
      </c>
      <c r="B685" s="58" t="n"/>
      <c r="C685" s="38" t="n"/>
      <c r="D685" s="38" t="n"/>
      <c r="E685" s="38" t="n"/>
      <c r="F685" s="57">
        <f>IF(E685="","",IFERROR(INDEX(Referensi!$C$5:$C$60,MATCH(E685,Referensi!$A$5:$A$60,0)),"?"))</f>
        <v/>
      </c>
      <c r="G685" s="38" t="n"/>
      <c r="H685" s="59" t="n"/>
      <c r="I685" s="38" t="n"/>
      <c r="J685" s="39" t="n"/>
      <c r="K685" s="60">
        <f>IF(J685="","",SUMIFS(J$5:J685,D$5:D685,"Masuk")-SUMIFS(J$5:J685,D$5:D685,"Keluar"))</f>
        <v/>
      </c>
      <c r="L685" s="38" t="n"/>
      <c r="M685" s="38" t="n"/>
      <c r="N685" s="57">
        <f>IF(E685="","",IFERROR(IF(INDEX(Referensi!$B$5:$B$60,MATCH(E685,Referensi!$A$5:$A$60,0))=D685,"OK","Jenis tidak cocok"),"Kategori tidak dikenal"))</f>
        <v/>
      </c>
    </row>
    <row r="686" ht="15" customHeight="1" s="33">
      <c r="A686" s="57">
        <f>IF(B686="","",ROW()-4)</f>
        <v/>
      </c>
      <c r="B686" s="58" t="n"/>
      <c r="C686" s="38" t="n"/>
      <c r="D686" s="38" t="n"/>
      <c r="E686" s="38" t="n"/>
      <c r="F686" s="57">
        <f>IF(E686="","",IFERROR(INDEX(Referensi!$C$5:$C$60,MATCH(E686,Referensi!$A$5:$A$60,0)),"?"))</f>
        <v/>
      </c>
      <c r="G686" s="38" t="n"/>
      <c r="H686" s="59" t="n"/>
      <c r="I686" s="38" t="n"/>
      <c r="J686" s="39" t="n"/>
      <c r="K686" s="60">
        <f>IF(J686="","",SUMIFS(J$5:J686,D$5:D686,"Masuk")-SUMIFS(J$5:J686,D$5:D686,"Keluar"))</f>
        <v/>
      </c>
      <c r="L686" s="38" t="n"/>
      <c r="M686" s="38" t="n"/>
      <c r="N686" s="57">
        <f>IF(E686="","",IFERROR(IF(INDEX(Referensi!$B$5:$B$60,MATCH(E686,Referensi!$A$5:$A$60,0))=D686,"OK","Jenis tidak cocok"),"Kategori tidak dikenal"))</f>
        <v/>
      </c>
    </row>
    <row r="687" ht="15" customHeight="1" s="33">
      <c r="A687" s="57">
        <f>IF(B687="","",ROW()-4)</f>
        <v/>
      </c>
      <c r="B687" s="58" t="n"/>
      <c r="C687" s="38" t="n"/>
      <c r="D687" s="38" t="n"/>
      <c r="E687" s="38" t="n"/>
      <c r="F687" s="57">
        <f>IF(E687="","",IFERROR(INDEX(Referensi!$C$5:$C$60,MATCH(E687,Referensi!$A$5:$A$60,0)),"?"))</f>
        <v/>
      </c>
      <c r="G687" s="38" t="n"/>
      <c r="H687" s="59" t="n"/>
      <c r="I687" s="38" t="n"/>
      <c r="J687" s="39" t="n"/>
      <c r="K687" s="60">
        <f>IF(J687="","",SUMIFS(J$5:J687,D$5:D687,"Masuk")-SUMIFS(J$5:J687,D$5:D687,"Keluar"))</f>
        <v/>
      </c>
      <c r="L687" s="38" t="n"/>
      <c r="M687" s="38" t="n"/>
      <c r="N687" s="57">
        <f>IF(E687="","",IFERROR(IF(INDEX(Referensi!$B$5:$B$60,MATCH(E687,Referensi!$A$5:$A$60,0))=D687,"OK","Jenis tidak cocok"),"Kategori tidak dikenal"))</f>
        <v/>
      </c>
    </row>
    <row r="688" ht="15" customHeight="1" s="33">
      <c r="A688" s="57">
        <f>IF(B688="","",ROW()-4)</f>
        <v/>
      </c>
      <c r="B688" s="58" t="n"/>
      <c r="C688" s="38" t="n"/>
      <c r="D688" s="38" t="n"/>
      <c r="E688" s="38" t="n"/>
      <c r="F688" s="57">
        <f>IF(E688="","",IFERROR(INDEX(Referensi!$C$5:$C$60,MATCH(E688,Referensi!$A$5:$A$60,0)),"?"))</f>
        <v/>
      </c>
      <c r="G688" s="38" t="n"/>
      <c r="H688" s="59" t="n"/>
      <c r="I688" s="38" t="n"/>
      <c r="J688" s="39" t="n"/>
      <c r="K688" s="60">
        <f>IF(J688="","",SUMIFS(J$5:J688,D$5:D688,"Masuk")-SUMIFS(J$5:J688,D$5:D688,"Keluar"))</f>
        <v/>
      </c>
      <c r="L688" s="38" t="n"/>
      <c r="M688" s="38" t="n"/>
      <c r="N688" s="57">
        <f>IF(E688="","",IFERROR(IF(INDEX(Referensi!$B$5:$B$60,MATCH(E688,Referensi!$A$5:$A$60,0))=D688,"OK","Jenis tidak cocok"),"Kategori tidak dikenal"))</f>
        <v/>
      </c>
    </row>
    <row r="689" ht="15" customHeight="1" s="33">
      <c r="A689" s="57">
        <f>IF(B689="","",ROW()-4)</f>
        <v/>
      </c>
      <c r="B689" s="58" t="n"/>
      <c r="C689" s="38" t="n"/>
      <c r="D689" s="38" t="n"/>
      <c r="E689" s="38" t="n"/>
      <c r="F689" s="57">
        <f>IF(E689="","",IFERROR(INDEX(Referensi!$C$5:$C$60,MATCH(E689,Referensi!$A$5:$A$60,0)),"?"))</f>
        <v/>
      </c>
      <c r="G689" s="38" t="n"/>
      <c r="H689" s="59" t="n"/>
      <c r="I689" s="38" t="n"/>
      <c r="J689" s="39" t="n"/>
      <c r="K689" s="60">
        <f>IF(J689="","",SUMIFS(J$5:J689,D$5:D689,"Masuk")-SUMIFS(J$5:J689,D$5:D689,"Keluar"))</f>
        <v/>
      </c>
      <c r="L689" s="38" t="n"/>
      <c r="M689" s="38" t="n"/>
      <c r="N689" s="57">
        <f>IF(E689="","",IFERROR(IF(INDEX(Referensi!$B$5:$B$60,MATCH(E689,Referensi!$A$5:$A$60,0))=D689,"OK","Jenis tidak cocok"),"Kategori tidak dikenal"))</f>
        <v/>
      </c>
    </row>
    <row r="690" ht="15" customHeight="1" s="33">
      <c r="A690" s="57">
        <f>IF(B690="","",ROW()-4)</f>
        <v/>
      </c>
      <c r="B690" s="58" t="n"/>
      <c r="C690" s="38" t="n"/>
      <c r="D690" s="38" t="n"/>
      <c r="E690" s="38" t="n"/>
      <c r="F690" s="57">
        <f>IF(E690="","",IFERROR(INDEX(Referensi!$C$5:$C$60,MATCH(E690,Referensi!$A$5:$A$60,0)),"?"))</f>
        <v/>
      </c>
      <c r="G690" s="38" t="n"/>
      <c r="H690" s="59" t="n"/>
      <c r="I690" s="38" t="n"/>
      <c r="J690" s="39" t="n"/>
      <c r="K690" s="60">
        <f>IF(J690="","",SUMIFS(J$5:J690,D$5:D690,"Masuk")-SUMIFS(J$5:J690,D$5:D690,"Keluar"))</f>
        <v/>
      </c>
      <c r="L690" s="38" t="n"/>
      <c r="M690" s="38" t="n"/>
      <c r="N690" s="57">
        <f>IF(E690="","",IFERROR(IF(INDEX(Referensi!$B$5:$B$60,MATCH(E690,Referensi!$A$5:$A$60,0))=D690,"OK","Jenis tidak cocok"),"Kategori tidak dikenal"))</f>
        <v/>
      </c>
    </row>
    <row r="691" ht="15" customHeight="1" s="33">
      <c r="A691" s="57">
        <f>IF(B691="","",ROW()-4)</f>
        <v/>
      </c>
      <c r="B691" s="58" t="n"/>
      <c r="C691" s="38" t="n"/>
      <c r="D691" s="38" t="n"/>
      <c r="E691" s="38" t="n"/>
      <c r="F691" s="57">
        <f>IF(E691="","",IFERROR(INDEX(Referensi!$C$5:$C$60,MATCH(E691,Referensi!$A$5:$A$60,0)),"?"))</f>
        <v/>
      </c>
      <c r="G691" s="38" t="n"/>
      <c r="H691" s="59" t="n"/>
      <c r="I691" s="38" t="n"/>
      <c r="J691" s="39" t="n"/>
      <c r="K691" s="60">
        <f>IF(J691="","",SUMIFS(J$5:J691,D$5:D691,"Masuk")-SUMIFS(J$5:J691,D$5:D691,"Keluar"))</f>
        <v/>
      </c>
      <c r="L691" s="38" t="n"/>
      <c r="M691" s="38" t="n"/>
      <c r="N691" s="57">
        <f>IF(E691="","",IFERROR(IF(INDEX(Referensi!$B$5:$B$60,MATCH(E691,Referensi!$A$5:$A$60,0))=D691,"OK","Jenis tidak cocok"),"Kategori tidak dikenal"))</f>
        <v/>
      </c>
    </row>
    <row r="692" ht="15" customHeight="1" s="33">
      <c r="A692" s="57">
        <f>IF(B692="","",ROW()-4)</f>
        <v/>
      </c>
      <c r="B692" s="58" t="n"/>
      <c r="C692" s="38" t="n"/>
      <c r="D692" s="38" t="n"/>
      <c r="E692" s="38" t="n"/>
      <c r="F692" s="57">
        <f>IF(E692="","",IFERROR(INDEX(Referensi!$C$5:$C$60,MATCH(E692,Referensi!$A$5:$A$60,0)),"?"))</f>
        <v/>
      </c>
      <c r="G692" s="38" t="n"/>
      <c r="H692" s="59" t="n"/>
      <c r="I692" s="38" t="n"/>
      <c r="J692" s="39" t="n"/>
      <c r="K692" s="60">
        <f>IF(J692="","",SUMIFS(J$5:J692,D$5:D692,"Masuk")-SUMIFS(J$5:J692,D$5:D692,"Keluar"))</f>
        <v/>
      </c>
      <c r="L692" s="38" t="n"/>
      <c r="M692" s="38" t="n"/>
      <c r="N692" s="57">
        <f>IF(E692="","",IFERROR(IF(INDEX(Referensi!$B$5:$B$60,MATCH(E692,Referensi!$A$5:$A$60,0))=D692,"OK","Jenis tidak cocok"),"Kategori tidak dikenal"))</f>
        <v/>
      </c>
    </row>
    <row r="693" ht="15" customHeight="1" s="33">
      <c r="A693" s="57">
        <f>IF(B693="","",ROW()-4)</f>
        <v/>
      </c>
      <c r="B693" s="58" t="n"/>
      <c r="C693" s="38" t="n"/>
      <c r="D693" s="38" t="n"/>
      <c r="E693" s="38" t="n"/>
      <c r="F693" s="57">
        <f>IF(E693="","",IFERROR(INDEX(Referensi!$C$5:$C$60,MATCH(E693,Referensi!$A$5:$A$60,0)),"?"))</f>
        <v/>
      </c>
      <c r="G693" s="38" t="n"/>
      <c r="H693" s="59" t="n"/>
      <c r="I693" s="38" t="n"/>
      <c r="J693" s="39" t="n"/>
      <c r="K693" s="60">
        <f>IF(J693="","",SUMIFS(J$5:J693,D$5:D693,"Masuk")-SUMIFS(J$5:J693,D$5:D693,"Keluar"))</f>
        <v/>
      </c>
      <c r="L693" s="38" t="n"/>
      <c r="M693" s="38" t="n"/>
      <c r="N693" s="57">
        <f>IF(E693="","",IFERROR(IF(INDEX(Referensi!$B$5:$B$60,MATCH(E693,Referensi!$A$5:$A$60,0))=D693,"OK","Jenis tidak cocok"),"Kategori tidak dikenal"))</f>
        <v/>
      </c>
    </row>
    <row r="694" ht="15" customHeight="1" s="33">
      <c r="A694" s="57">
        <f>IF(B694="","",ROW()-4)</f>
        <v/>
      </c>
      <c r="B694" s="58" t="n"/>
      <c r="C694" s="38" t="n"/>
      <c r="D694" s="38" t="n"/>
      <c r="E694" s="38" t="n"/>
      <c r="F694" s="57">
        <f>IF(E694="","",IFERROR(INDEX(Referensi!$C$5:$C$60,MATCH(E694,Referensi!$A$5:$A$60,0)),"?"))</f>
        <v/>
      </c>
      <c r="G694" s="38" t="n"/>
      <c r="H694" s="59" t="n"/>
      <c r="I694" s="38" t="n"/>
      <c r="J694" s="39" t="n"/>
      <c r="K694" s="60">
        <f>IF(J694="","",SUMIFS(J$5:J694,D$5:D694,"Masuk")-SUMIFS(J$5:J694,D$5:D694,"Keluar"))</f>
        <v/>
      </c>
      <c r="L694" s="38" t="n"/>
      <c r="M694" s="38" t="n"/>
      <c r="N694" s="57">
        <f>IF(E694="","",IFERROR(IF(INDEX(Referensi!$B$5:$B$60,MATCH(E694,Referensi!$A$5:$A$60,0))=D694,"OK","Jenis tidak cocok"),"Kategori tidak dikenal"))</f>
        <v/>
      </c>
    </row>
    <row r="695" ht="15" customHeight="1" s="33">
      <c r="A695" s="57">
        <f>IF(B695="","",ROW()-4)</f>
        <v/>
      </c>
      <c r="B695" s="58" t="n"/>
      <c r="C695" s="38" t="n"/>
      <c r="D695" s="38" t="n"/>
      <c r="E695" s="38" t="n"/>
      <c r="F695" s="57">
        <f>IF(E695="","",IFERROR(INDEX(Referensi!$C$5:$C$60,MATCH(E695,Referensi!$A$5:$A$60,0)),"?"))</f>
        <v/>
      </c>
      <c r="G695" s="38" t="n"/>
      <c r="H695" s="59" t="n"/>
      <c r="I695" s="38" t="n"/>
      <c r="J695" s="39" t="n"/>
      <c r="K695" s="60">
        <f>IF(J695="","",SUMIFS(J$5:J695,D$5:D695,"Masuk")-SUMIFS(J$5:J695,D$5:D695,"Keluar"))</f>
        <v/>
      </c>
      <c r="L695" s="38" t="n"/>
      <c r="M695" s="38" t="n"/>
      <c r="N695" s="57">
        <f>IF(E695="","",IFERROR(IF(INDEX(Referensi!$B$5:$B$60,MATCH(E695,Referensi!$A$5:$A$60,0))=D695,"OK","Jenis tidak cocok"),"Kategori tidak dikenal"))</f>
        <v/>
      </c>
    </row>
    <row r="696" ht="15" customHeight="1" s="33">
      <c r="A696" s="57">
        <f>IF(B696="","",ROW()-4)</f>
        <v/>
      </c>
      <c r="B696" s="58" t="n"/>
      <c r="C696" s="38" t="n"/>
      <c r="D696" s="38" t="n"/>
      <c r="E696" s="38" t="n"/>
      <c r="F696" s="57">
        <f>IF(E696="","",IFERROR(INDEX(Referensi!$C$5:$C$60,MATCH(E696,Referensi!$A$5:$A$60,0)),"?"))</f>
        <v/>
      </c>
      <c r="G696" s="38" t="n"/>
      <c r="H696" s="59" t="n"/>
      <c r="I696" s="38" t="n"/>
      <c r="J696" s="39" t="n"/>
      <c r="K696" s="60">
        <f>IF(J696="","",SUMIFS(J$5:J696,D$5:D696,"Masuk")-SUMIFS(J$5:J696,D$5:D696,"Keluar"))</f>
        <v/>
      </c>
      <c r="L696" s="38" t="n"/>
      <c r="M696" s="38" t="n"/>
      <c r="N696" s="57">
        <f>IF(E696="","",IFERROR(IF(INDEX(Referensi!$B$5:$B$60,MATCH(E696,Referensi!$A$5:$A$60,0))=D696,"OK","Jenis tidak cocok"),"Kategori tidak dikenal"))</f>
        <v/>
      </c>
    </row>
    <row r="697" ht="15" customHeight="1" s="33">
      <c r="A697" s="57">
        <f>IF(B697="","",ROW()-4)</f>
        <v/>
      </c>
      <c r="B697" s="58" t="n"/>
      <c r="C697" s="38" t="n"/>
      <c r="D697" s="38" t="n"/>
      <c r="E697" s="38" t="n"/>
      <c r="F697" s="57">
        <f>IF(E697="","",IFERROR(INDEX(Referensi!$C$5:$C$60,MATCH(E697,Referensi!$A$5:$A$60,0)),"?"))</f>
        <v/>
      </c>
      <c r="G697" s="38" t="n"/>
      <c r="H697" s="59" t="n"/>
      <c r="I697" s="38" t="n"/>
      <c r="J697" s="39" t="n"/>
      <c r="K697" s="60">
        <f>IF(J697="","",SUMIFS(J$5:J697,D$5:D697,"Masuk")-SUMIFS(J$5:J697,D$5:D697,"Keluar"))</f>
        <v/>
      </c>
      <c r="L697" s="38" t="n"/>
      <c r="M697" s="38" t="n"/>
      <c r="N697" s="57">
        <f>IF(E697="","",IFERROR(IF(INDEX(Referensi!$B$5:$B$60,MATCH(E697,Referensi!$A$5:$A$60,0))=D697,"OK","Jenis tidak cocok"),"Kategori tidak dikenal"))</f>
        <v/>
      </c>
    </row>
    <row r="698" ht="15" customHeight="1" s="33">
      <c r="A698" s="57">
        <f>IF(B698="","",ROW()-4)</f>
        <v/>
      </c>
      <c r="B698" s="58" t="n"/>
      <c r="C698" s="38" t="n"/>
      <c r="D698" s="38" t="n"/>
      <c r="E698" s="38" t="n"/>
      <c r="F698" s="57">
        <f>IF(E698="","",IFERROR(INDEX(Referensi!$C$5:$C$60,MATCH(E698,Referensi!$A$5:$A$60,0)),"?"))</f>
        <v/>
      </c>
      <c r="G698" s="38" t="n"/>
      <c r="H698" s="59" t="n"/>
      <c r="I698" s="38" t="n"/>
      <c r="J698" s="39" t="n"/>
      <c r="K698" s="60">
        <f>IF(J698="","",SUMIFS(J$5:J698,D$5:D698,"Masuk")-SUMIFS(J$5:J698,D$5:D698,"Keluar"))</f>
        <v/>
      </c>
      <c r="L698" s="38" t="n"/>
      <c r="M698" s="38" t="n"/>
      <c r="N698" s="57">
        <f>IF(E698="","",IFERROR(IF(INDEX(Referensi!$B$5:$B$60,MATCH(E698,Referensi!$A$5:$A$60,0))=D698,"OK","Jenis tidak cocok"),"Kategori tidak dikenal"))</f>
        <v/>
      </c>
    </row>
    <row r="699" ht="15" customHeight="1" s="33">
      <c r="A699" s="57">
        <f>IF(B699="","",ROW()-4)</f>
        <v/>
      </c>
      <c r="B699" s="58" t="n"/>
      <c r="C699" s="38" t="n"/>
      <c r="D699" s="38" t="n"/>
      <c r="E699" s="38" t="n"/>
      <c r="F699" s="57">
        <f>IF(E699="","",IFERROR(INDEX(Referensi!$C$5:$C$60,MATCH(E699,Referensi!$A$5:$A$60,0)),"?"))</f>
        <v/>
      </c>
      <c r="G699" s="38" t="n"/>
      <c r="H699" s="59" t="n"/>
      <c r="I699" s="38" t="n"/>
      <c r="J699" s="39" t="n"/>
      <c r="K699" s="60">
        <f>IF(J699="","",SUMIFS(J$5:J699,D$5:D699,"Masuk")-SUMIFS(J$5:J699,D$5:D699,"Keluar"))</f>
        <v/>
      </c>
      <c r="L699" s="38" t="n"/>
      <c r="M699" s="38" t="n"/>
      <c r="N699" s="57">
        <f>IF(E699="","",IFERROR(IF(INDEX(Referensi!$B$5:$B$60,MATCH(E699,Referensi!$A$5:$A$60,0))=D699,"OK","Jenis tidak cocok"),"Kategori tidak dikenal"))</f>
        <v/>
      </c>
    </row>
    <row r="700" ht="15" customHeight="1" s="33">
      <c r="A700" s="57">
        <f>IF(B700="","",ROW()-4)</f>
        <v/>
      </c>
      <c r="B700" s="58" t="n"/>
      <c r="C700" s="38" t="n"/>
      <c r="D700" s="38" t="n"/>
      <c r="E700" s="38" t="n"/>
      <c r="F700" s="57">
        <f>IF(E700="","",IFERROR(INDEX(Referensi!$C$5:$C$60,MATCH(E700,Referensi!$A$5:$A$60,0)),"?"))</f>
        <v/>
      </c>
      <c r="G700" s="38" t="n"/>
      <c r="H700" s="59" t="n"/>
      <c r="I700" s="38" t="n"/>
      <c r="J700" s="39" t="n"/>
      <c r="K700" s="60">
        <f>IF(J700="","",SUMIFS(J$5:J700,D$5:D700,"Masuk")-SUMIFS(J$5:J700,D$5:D700,"Keluar"))</f>
        <v/>
      </c>
      <c r="L700" s="38" t="n"/>
      <c r="M700" s="38" t="n"/>
      <c r="N700" s="57">
        <f>IF(E700="","",IFERROR(IF(INDEX(Referensi!$B$5:$B$60,MATCH(E700,Referensi!$A$5:$A$60,0))=D700,"OK","Jenis tidak cocok"),"Kategori tidak dikenal"))</f>
        <v/>
      </c>
    </row>
    <row r="701" ht="15" customHeight="1" s="33">
      <c r="A701" s="57">
        <f>IF(B701="","",ROW()-4)</f>
        <v/>
      </c>
      <c r="B701" s="58" t="n"/>
      <c r="C701" s="38" t="n"/>
      <c r="D701" s="38" t="n"/>
      <c r="E701" s="38" t="n"/>
      <c r="F701" s="57">
        <f>IF(E701="","",IFERROR(INDEX(Referensi!$C$5:$C$60,MATCH(E701,Referensi!$A$5:$A$60,0)),"?"))</f>
        <v/>
      </c>
      <c r="G701" s="38" t="n"/>
      <c r="H701" s="59" t="n"/>
      <c r="I701" s="38" t="n"/>
      <c r="J701" s="39" t="n"/>
      <c r="K701" s="60">
        <f>IF(J701="","",SUMIFS(J$5:J701,D$5:D701,"Masuk")-SUMIFS(J$5:J701,D$5:D701,"Keluar"))</f>
        <v/>
      </c>
      <c r="L701" s="38" t="n"/>
      <c r="M701" s="38" t="n"/>
      <c r="N701" s="57">
        <f>IF(E701="","",IFERROR(IF(INDEX(Referensi!$B$5:$B$60,MATCH(E701,Referensi!$A$5:$A$60,0))=D701,"OK","Jenis tidak cocok"),"Kategori tidak dikenal"))</f>
        <v/>
      </c>
    </row>
    <row r="702" ht="15" customHeight="1" s="33">
      <c r="A702" s="57">
        <f>IF(B702="","",ROW()-4)</f>
        <v/>
      </c>
      <c r="B702" s="58" t="n"/>
      <c r="C702" s="38" t="n"/>
      <c r="D702" s="38" t="n"/>
      <c r="E702" s="38" t="n"/>
      <c r="F702" s="57">
        <f>IF(E702="","",IFERROR(INDEX(Referensi!$C$5:$C$60,MATCH(E702,Referensi!$A$5:$A$60,0)),"?"))</f>
        <v/>
      </c>
      <c r="G702" s="38" t="n"/>
      <c r="H702" s="59" t="n"/>
      <c r="I702" s="38" t="n"/>
      <c r="J702" s="39" t="n"/>
      <c r="K702" s="60">
        <f>IF(J702="","",SUMIFS(J$5:J702,D$5:D702,"Masuk")-SUMIFS(J$5:J702,D$5:D702,"Keluar"))</f>
        <v/>
      </c>
      <c r="L702" s="38" t="n"/>
      <c r="M702" s="38" t="n"/>
      <c r="N702" s="57">
        <f>IF(E702="","",IFERROR(IF(INDEX(Referensi!$B$5:$B$60,MATCH(E702,Referensi!$A$5:$A$60,0))=D702,"OK","Jenis tidak cocok"),"Kategori tidak dikenal"))</f>
        <v/>
      </c>
    </row>
    <row r="703" ht="15" customHeight="1" s="33">
      <c r="A703" s="57">
        <f>IF(B703="","",ROW()-4)</f>
        <v/>
      </c>
      <c r="B703" s="58" t="n"/>
      <c r="C703" s="38" t="n"/>
      <c r="D703" s="38" t="n"/>
      <c r="E703" s="38" t="n"/>
      <c r="F703" s="57">
        <f>IF(E703="","",IFERROR(INDEX(Referensi!$C$5:$C$60,MATCH(E703,Referensi!$A$5:$A$60,0)),"?"))</f>
        <v/>
      </c>
      <c r="G703" s="38" t="n"/>
      <c r="H703" s="59" t="n"/>
      <c r="I703" s="38" t="n"/>
      <c r="J703" s="39" t="n"/>
      <c r="K703" s="60">
        <f>IF(J703="","",SUMIFS(J$5:J703,D$5:D703,"Masuk")-SUMIFS(J$5:J703,D$5:D703,"Keluar"))</f>
        <v/>
      </c>
      <c r="L703" s="38" t="n"/>
      <c r="M703" s="38" t="n"/>
      <c r="N703" s="57">
        <f>IF(E703="","",IFERROR(IF(INDEX(Referensi!$B$5:$B$60,MATCH(E703,Referensi!$A$5:$A$60,0))=D703,"OK","Jenis tidak cocok"),"Kategori tidak dikenal"))</f>
        <v/>
      </c>
    </row>
    <row r="704" ht="15" customHeight="1" s="33">
      <c r="A704" s="57">
        <f>IF(B704="","",ROW()-4)</f>
        <v/>
      </c>
      <c r="B704" s="58" t="n"/>
      <c r="C704" s="38" t="n"/>
      <c r="D704" s="38" t="n"/>
      <c r="E704" s="38" t="n"/>
      <c r="F704" s="57">
        <f>IF(E704="","",IFERROR(INDEX(Referensi!$C$5:$C$60,MATCH(E704,Referensi!$A$5:$A$60,0)),"?"))</f>
        <v/>
      </c>
      <c r="G704" s="38" t="n"/>
      <c r="H704" s="59" t="n"/>
      <c r="I704" s="38" t="n"/>
      <c r="J704" s="39" t="n"/>
      <c r="K704" s="60">
        <f>IF(J704="","",SUMIFS(J$5:J704,D$5:D704,"Masuk")-SUMIFS(J$5:J704,D$5:D704,"Keluar"))</f>
        <v/>
      </c>
      <c r="L704" s="38" t="n"/>
      <c r="M704" s="38" t="n"/>
      <c r="N704" s="57">
        <f>IF(E704="","",IFERROR(IF(INDEX(Referensi!$B$5:$B$60,MATCH(E704,Referensi!$A$5:$A$60,0))=D704,"OK","Jenis tidak cocok"),"Kategori tidak dikenal"))</f>
        <v/>
      </c>
    </row>
    <row r="705" ht="15" customHeight="1" s="33">
      <c r="A705" s="57">
        <f>IF(B705="","",ROW()-4)</f>
        <v/>
      </c>
      <c r="B705" s="58" t="n"/>
      <c r="C705" s="38" t="n"/>
      <c r="D705" s="38" t="n"/>
      <c r="E705" s="38" t="n"/>
      <c r="F705" s="57">
        <f>IF(E705="","",IFERROR(INDEX(Referensi!$C$5:$C$60,MATCH(E705,Referensi!$A$5:$A$60,0)),"?"))</f>
        <v/>
      </c>
      <c r="G705" s="38" t="n"/>
      <c r="H705" s="59" t="n"/>
      <c r="I705" s="38" t="n"/>
      <c r="J705" s="39" t="n"/>
      <c r="K705" s="60">
        <f>IF(J705="","",SUMIFS(J$5:J705,D$5:D705,"Masuk")-SUMIFS(J$5:J705,D$5:D705,"Keluar"))</f>
        <v/>
      </c>
      <c r="L705" s="38" t="n"/>
      <c r="M705" s="38" t="n"/>
      <c r="N705" s="57">
        <f>IF(E705="","",IFERROR(IF(INDEX(Referensi!$B$5:$B$60,MATCH(E705,Referensi!$A$5:$A$60,0))=D705,"OK","Jenis tidak cocok"),"Kategori tidak dikenal"))</f>
        <v/>
      </c>
    </row>
    <row r="706" ht="15" customHeight="1" s="33">
      <c r="A706" s="57">
        <f>IF(B706="","",ROW()-4)</f>
        <v/>
      </c>
      <c r="B706" s="58" t="n"/>
      <c r="C706" s="38" t="n"/>
      <c r="D706" s="38" t="n"/>
      <c r="E706" s="38" t="n"/>
      <c r="F706" s="57">
        <f>IF(E706="","",IFERROR(INDEX(Referensi!$C$5:$C$60,MATCH(E706,Referensi!$A$5:$A$60,0)),"?"))</f>
        <v/>
      </c>
      <c r="G706" s="38" t="n"/>
      <c r="H706" s="59" t="n"/>
      <c r="I706" s="38" t="n"/>
      <c r="J706" s="39" t="n"/>
      <c r="K706" s="60">
        <f>IF(J706="","",SUMIFS(J$5:J706,D$5:D706,"Masuk")-SUMIFS(J$5:J706,D$5:D706,"Keluar"))</f>
        <v/>
      </c>
      <c r="L706" s="38" t="n"/>
      <c r="M706" s="38" t="n"/>
      <c r="N706" s="57">
        <f>IF(E706="","",IFERROR(IF(INDEX(Referensi!$B$5:$B$60,MATCH(E706,Referensi!$A$5:$A$60,0))=D706,"OK","Jenis tidak cocok"),"Kategori tidak dikenal"))</f>
        <v/>
      </c>
    </row>
    <row r="707" ht="15" customHeight="1" s="33">
      <c r="A707" s="57">
        <f>IF(B707="","",ROW()-4)</f>
        <v/>
      </c>
      <c r="B707" s="58" t="n"/>
      <c r="C707" s="38" t="n"/>
      <c r="D707" s="38" t="n"/>
      <c r="E707" s="38" t="n"/>
      <c r="F707" s="57">
        <f>IF(E707="","",IFERROR(INDEX(Referensi!$C$5:$C$60,MATCH(E707,Referensi!$A$5:$A$60,0)),"?"))</f>
        <v/>
      </c>
      <c r="G707" s="38" t="n"/>
      <c r="H707" s="59" t="n"/>
      <c r="I707" s="38" t="n"/>
      <c r="J707" s="39" t="n"/>
      <c r="K707" s="60">
        <f>IF(J707="","",SUMIFS(J$5:J707,D$5:D707,"Masuk")-SUMIFS(J$5:J707,D$5:D707,"Keluar"))</f>
        <v/>
      </c>
      <c r="L707" s="38" t="n"/>
      <c r="M707" s="38" t="n"/>
      <c r="N707" s="57">
        <f>IF(E707="","",IFERROR(IF(INDEX(Referensi!$B$5:$B$60,MATCH(E707,Referensi!$A$5:$A$60,0))=D707,"OK","Jenis tidak cocok"),"Kategori tidak dikenal"))</f>
        <v/>
      </c>
    </row>
    <row r="708" ht="15" customHeight="1" s="33">
      <c r="A708" s="57">
        <f>IF(B708="","",ROW()-4)</f>
        <v/>
      </c>
      <c r="B708" s="58" t="n"/>
      <c r="C708" s="38" t="n"/>
      <c r="D708" s="38" t="n"/>
      <c r="E708" s="38" t="n"/>
      <c r="F708" s="57">
        <f>IF(E708="","",IFERROR(INDEX(Referensi!$C$5:$C$60,MATCH(E708,Referensi!$A$5:$A$60,0)),"?"))</f>
        <v/>
      </c>
      <c r="G708" s="38" t="n"/>
      <c r="H708" s="59" t="n"/>
      <c r="I708" s="38" t="n"/>
      <c r="J708" s="39" t="n"/>
      <c r="K708" s="60">
        <f>IF(J708="","",SUMIFS(J$5:J708,D$5:D708,"Masuk")-SUMIFS(J$5:J708,D$5:D708,"Keluar"))</f>
        <v/>
      </c>
      <c r="L708" s="38" t="n"/>
      <c r="M708" s="38" t="n"/>
      <c r="N708" s="57">
        <f>IF(E708="","",IFERROR(IF(INDEX(Referensi!$B$5:$B$60,MATCH(E708,Referensi!$A$5:$A$60,0))=D708,"OK","Jenis tidak cocok"),"Kategori tidak dikenal"))</f>
        <v/>
      </c>
    </row>
    <row r="709" ht="15" customHeight="1" s="33">
      <c r="A709" s="57">
        <f>IF(B709="","",ROW()-4)</f>
        <v/>
      </c>
      <c r="B709" s="58" t="n"/>
      <c r="C709" s="38" t="n"/>
      <c r="D709" s="38" t="n"/>
      <c r="E709" s="38" t="n"/>
      <c r="F709" s="57">
        <f>IF(E709="","",IFERROR(INDEX(Referensi!$C$5:$C$60,MATCH(E709,Referensi!$A$5:$A$60,0)),"?"))</f>
        <v/>
      </c>
      <c r="G709" s="38" t="n"/>
      <c r="H709" s="59" t="n"/>
      <c r="I709" s="38" t="n"/>
      <c r="J709" s="39" t="n"/>
      <c r="K709" s="60">
        <f>IF(J709="","",SUMIFS(J$5:J709,D$5:D709,"Masuk")-SUMIFS(J$5:J709,D$5:D709,"Keluar"))</f>
        <v/>
      </c>
      <c r="L709" s="38" t="n"/>
      <c r="M709" s="38" t="n"/>
      <c r="N709" s="57">
        <f>IF(E709="","",IFERROR(IF(INDEX(Referensi!$B$5:$B$60,MATCH(E709,Referensi!$A$5:$A$60,0))=D709,"OK","Jenis tidak cocok"),"Kategori tidak dikenal"))</f>
        <v/>
      </c>
    </row>
    <row r="710" ht="15" customHeight="1" s="33">
      <c r="A710" s="57">
        <f>IF(B710="","",ROW()-4)</f>
        <v/>
      </c>
      <c r="B710" s="58" t="n"/>
      <c r="C710" s="38" t="n"/>
      <c r="D710" s="38" t="n"/>
      <c r="E710" s="38" t="n"/>
      <c r="F710" s="57">
        <f>IF(E710="","",IFERROR(INDEX(Referensi!$C$5:$C$60,MATCH(E710,Referensi!$A$5:$A$60,0)),"?"))</f>
        <v/>
      </c>
      <c r="G710" s="38" t="n"/>
      <c r="H710" s="59" t="n"/>
      <c r="I710" s="38" t="n"/>
      <c r="J710" s="39" t="n"/>
      <c r="K710" s="60">
        <f>IF(J710="","",SUMIFS(J$5:J710,D$5:D710,"Masuk")-SUMIFS(J$5:J710,D$5:D710,"Keluar"))</f>
        <v/>
      </c>
      <c r="L710" s="38" t="n"/>
      <c r="M710" s="38" t="n"/>
      <c r="N710" s="57">
        <f>IF(E710="","",IFERROR(IF(INDEX(Referensi!$B$5:$B$60,MATCH(E710,Referensi!$A$5:$A$60,0))=D710,"OK","Jenis tidak cocok"),"Kategori tidak dikenal"))</f>
        <v/>
      </c>
    </row>
    <row r="711" ht="15" customHeight="1" s="33">
      <c r="A711" s="57">
        <f>IF(B711="","",ROW()-4)</f>
        <v/>
      </c>
      <c r="B711" s="58" t="n"/>
      <c r="C711" s="38" t="n"/>
      <c r="D711" s="38" t="n"/>
      <c r="E711" s="38" t="n"/>
      <c r="F711" s="57">
        <f>IF(E711="","",IFERROR(INDEX(Referensi!$C$5:$C$60,MATCH(E711,Referensi!$A$5:$A$60,0)),"?"))</f>
        <v/>
      </c>
      <c r="G711" s="38" t="n"/>
      <c r="H711" s="59" t="n"/>
      <c r="I711" s="38" t="n"/>
      <c r="J711" s="39" t="n"/>
      <c r="K711" s="60">
        <f>IF(J711="","",SUMIFS(J$5:J711,D$5:D711,"Masuk")-SUMIFS(J$5:J711,D$5:D711,"Keluar"))</f>
        <v/>
      </c>
      <c r="L711" s="38" t="n"/>
      <c r="M711" s="38" t="n"/>
      <c r="N711" s="57">
        <f>IF(E711="","",IFERROR(IF(INDEX(Referensi!$B$5:$B$60,MATCH(E711,Referensi!$A$5:$A$60,0))=D711,"OK","Jenis tidak cocok"),"Kategori tidak dikenal"))</f>
        <v/>
      </c>
    </row>
    <row r="712" ht="15" customHeight="1" s="33">
      <c r="A712" s="57">
        <f>IF(B712="","",ROW()-4)</f>
        <v/>
      </c>
      <c r="B712" s="58" t="n"/>
      <c r="C712" s="38" t="n"/>
      <c r="D712" s="38" t="n"/>
      <c r="E712" s="38" t="n"/>
      <c r="F712" s="57">
        <f>IF(E712="","",IFERROR(INDEX(Referensi!$C$5:$C$60,MATCH(E712,Referensi!$A$5:$A$60,0)),"?"))</f>
        <v/>
      </c>
      <c r="G712" s="38" t="n"/>
      <c r="H712" s="59" t="n"/>
      <c r="I712" s="38" t="n"/>
      <c r="J712" s="39" t="n"/>
      <c r="K712" s="60">
        <f>IF(J712="","",SUMIFS(J$5:J712,D$5:D712,"Masuk")-SUMIFS(J$5:J712,D$5:D712,"Keluar"))</f>
        <v/>
      </c>
      <c r="L712" s="38" t="n"/>
      <c r="M712" s="38" t="n"/>
      <c r="N712" s="57">
        <f>IF(E712="","",IFERROR(IF(INDEX(Referensi!$B$5:$B$60,MATCH(E712,Referensi!$A$5:$A$60,0))=D712,"OK","Jenis tidak cocok"),"Kategori tidak dikenal"))</f>
        <v/>
      </c>
    </row>
    <row r="713" ht="15" customHeight="1" s="33">
      <c r="A713" s="57">
        <f>IF(B713="","",ROW()-4)</f>
        <v/>
      </c>
      <c r="B713" s="58" t="n"/>
      <c r="C713" s="38" t="n"/>
      <c r="D713" s="38" t="n"/>
      <c r="E713" s="38" t="n"/>
      <c r="F713" s="57">
        <f>IF(E713="","",IFERROR(INDEX(Referensi!$C$5:$C$60,MATCH(E713,Referensi!$A$5:$A$60,0)),"?"))</f>
        <v/>
      </c>
      <c r="G713" s="38" t="n"/>
      <c r="H713" s="59" t="n"/>
      <c r="I713" s="38" t="n"/>
      <c r="J713" s="39" t="n"/>
      <c r="K713" s="60">
        <f>IF(J713="","",SUMIFS(J$5:J713,D$5:D713,"Masuk")-SUMIFS(J$5:J713,D$5:D713,"Keluar"))</f>
        <v/>
      </c>
      <c r="L713" s="38" t="n"/>
      <c r="M713" s="38" t="n"/>
      <c r="N713" s="57">
        <f>IF(E713="","",IFERROR(IF(INDEX(Referensi!$B$5:$B$60,MATCH(E713,Referensi!$A$5:$A$60,0))=D713,"OK","Jenis tidak cocok"),"Kategori tidak dikenal"))</f>
        <v/>
      </c>
    </row>
    <row r="714" ht="15" customHeight="1" s="33">
      <c r="A714" s="57">
        <f>IF(B714="","",ROW()-4)</f>
        <v/>
      </c>
      <c r="B714" s="58" t="n"/>
      <c r="C714" s="38" t="n"/>
      <c r="D714" s="38" t="n"/>
      <c r="E714" s="38" t="n"/>
      <c r="F714" s="57">
        <f>IF(E714="","",IFERROR(INDEX(Referensi!$C$5:$C$60,MATCH(E714,Referensi!$A$5:$A$60,0)),"?"))</f>
        <v/>
      </c>
      <c r="G714" s="38" t="n"/>
      <c r="H714" s="59" t="n"/>
      <c r="I714" s="38" t="n"/>
      <c r="J714" s="39" t="n"/>
      <c r="K714" s="60">
        <f>IF(J714="","",SUMIFS(J$5:J714,D$5:D714,"Masuk")-SUMIFS(J$5:J714,D$5:D714,"Keluar"))</f>
        <v/>
      </c>
      <c r="L714" s="38" t="n"/>
      <c r="M714" s="38" t="n"/>
      <c r="N714" s="57">
        <f>IF(E714="","",IFERROR(IF(INDEX(Referensi!$B$5:$B$60,MATCH(E714,Referensi!$A$5:$A$60,0))=D714,"OK","Jenis tidak cocok"),"Kategori tidak dikenal"))</f>
        <v/>
      </c>
    </row>
    <row r="715" ht="15" customHeight="1" s="33">
      <c r="A715" s="57">
        <f>IF(B715="","",ROW()-4)</f>
        <v/>
      </c>
      <c r="B715" s="58" t="n"/>
      <c r="C715" s="38" t="n"/>
      <c r="D715" s="38" t="n"/>
      <c r="E715" s="38" t="n"/>
      <c r="F715" s="57">
        <f>IF(E715="","",IFERROR(INDEX(Referensi!$C$5:$C$60,MATCH(E715,Referensi!$A$5:$A$60,0)),"?"))</f>
        <v/>
      </c>
      <c r="G715" s="38" t="n"/>
      <c r="H715" s="59" t="n"/>
      <c r="I715" s="38" t="n"/>
      <c r="J715" s="39" t="n"/>
      <c r="K715" s="60">
        <f>IF(J715="","",SUMIFS(J$5:J715,D$5:D715,"Masuk")-SUMIFS(J$5:J715,D$5:D715,"Keluar"))</f>
        <v/>
      </c>
      <c r="L715" s="38" t="n"/>
      <c r="M715" s="38" t="n"/>
      <c r="N715" s="57">
        <f>IF(E715="","",IFERROR(IF(INDEX(Referensi!$B$5:$B$60,MATCH(E715,Referensi!$A$5:$A$60,0))=D715,"OK","Jenis tidak cocok"),"Kategori tidak dikenal"))</f>
        <v/>
      </c>
    </row>
    <row r="716" ht="15" customHeight="1" s="33">
      <c r="A716" s="57">
        <f>IF(B716="","",ROW()-4)</f>
        <v/>
      </c>
      <c r="B716" s="58" t="n"/>
      <c r="C716" s="38" t="n"/>
      <c r="D716" s="38" t="n"/>
      <c r="E716" s="38" t="n"/>
      <c r="F716" s="57">
        <f>IF(E716="","",IFERROR(INDEX(Referensi!$C$5:$C$60,MATCH(E716,Referensi!$A$5:$A$60,0)),"?"))</f>
        <v/>
      </c>
      <c r="G716" s="38" t="n"/>
      <c r="H716" s="59" t="n"/>
      <c r="I716" s="38" t="n"/>
      <c r="J716" s="39" t="n"/>
      <c r="K716" s="60">
        <f>IF(J716="","",SUMIFS(J$5:J716,D$5:D716,"Masuk")-SUMIFS(J$5:J716,D$5:D716,"Keluar"))</f>
        <v/>
      </c>
      <c r="L716" s="38" t="n"/>
      <c r="M716" s="38" t="n"/>
      <c r="N716" s="57">
        <f>IF(E716="","",IFERROR(IF(INDEX(Referensi!$B$5:$B$60,MATCH(E716,Referensi!$A$5:$A$60,0))=D716,"OK","Jenis tidak cocok"),"Kategori tidak dikenal"))</f>
        <v/>
      </c>
    </row>
    <row r="717" ht="15" customHeight="1" s="33">
      <c r="A717" s="57">
        <f>IF(B717="","",ROW()-4)</f>
        <v/>
      </c>
      <c r="B717" s="58" t="n"/>
      <c r="C717" s="38" t="n"/>
      <c r="D717" s="38" t="n"/>
      <c r="E717" s="38" t="n"/>
      <c r="F717" s="57">
        <f>IF(E717="","",IFERROR(INDEX(Referensi!$C$5:$C$60,MATCH(E717,Referensi!$A$5:$A$60,0)),"?"))</f>
        <v/>
      </c>
      <c r="G717" s="38" t="n"/>
      <c r="H717" s="59" t="n"/>
      <c r="I717" s="38" t="n"/>
      <c r="J717" s="39" t="n"/>
      <c r="K717" s="60">
        <f>IF(J717="","",SUMIFS(J$5:J717,D$5:D717,"Masuk")-SUMIFS(J$5:J717,D$5:D717,"Keluar"))</f>
        <v/>
      </c>
      <c r="L717" s="38" t="n"/>
      <c r="M717" s="38" t="n"/>
      <c r="N717" s="57">
        <f>IF(E717="","",IFERROR(IF(INDEX(Referensi!$B$5:$B$60,MATCH(E717,Referensi!$A$5:$A$60,0))=D717,"OK","Jenis tidak cocok"),"Kategori tidak dikenal"))</f>
        <v/>
      </c>
    </row>
    <row r="718" ht="15" customHeight="1" s="33">
      <c r="A718" s="57">
        <f>IF(B718="","",ROW()-4)</f>
        <v/>
      </c>
      <c r="B718" s="58" t="n"/>
      <c r="C718" s="38" t="n"/>
      <c r="D718" s="38" t="n"/>
      <c r="E718" s="38" t="n"/>
      <c r="F718" s="57">
        <f>IF(E718="","",IFERROR(INDEX(Referensi!$C$5:$C$60,MATCH(E718,Referensi!$A$5:$A$60,0)),"?"))</f>
        <v/>
      </c>
      <c r="G718" s="38" t="n"/>
      <c r="H718" s="59" t="n"/>
      <c r="I718" s="38" t="n"/>
      <c r="J718" s="39" t="n"/>
      <c r="K718" s="60">
        <f>IF(J718="","",SUMIFS(J$5:J718,D$5:D718,"Masuk")-SUMIFS(J$5:J718,D$5:D718,"Keluar"))</f>
        <v/>
      </c>
      <c r="L718" s="38" t="n"/>
      <c r="M718" s="38" t="n"/>
      <c r="N718" s="57">
        <f>IF(E718="","",IFERROR(IF(INDEX(Referensi!$B$5:$B$60,MATCH(E718,Referensi!$A$5:$A$60,0))=D718,"OK","Jenis tidak cocok"),"Kategori tidak dikenal"))</f>
        <v/>
      </c>
    </row>
    <row r="719" ht="15" customHeight="1" s="33">
      <c r="A719" s="57">
        <f>IF(B719="","",ROW()-4)</f>
        <v/>
      </c>
      <c r="B719" s="58" t="n"/>
      <c r="C719" s="38" t="n"/>
      <c r="D719" s="38" t="n"/>
      <c r="E719" s="38" t="n"/>
      <c r="F719" s="57">
        <f>IF(E719="","",IFERROR(INDEX(Referensi!$C$5:$C$60,MATCH(E719,Referensi!$A$5:$A$60,0)),"?"))</f>
        <v/>
      </c>
      <c r="G719" s="38" t="n"/>
      <c r="H719" s="59" t="n"/>
      <c r="I719" s="38" t="n"/>
      <c r="J719" s="39" t="n"/>
      <c r="K719" s="60">
        <f>IF(J719="","",SUMIFS(J$5:J719,D$5:D719,"Masuk")-SUMIFS(J$5:J719,D$5:D719,"Keluar"))</f>
        <v/>
      </c>
      <c r="L719" s="38" t="n"/>
      <c r="M719" s="38" t="n"/>
      <c r="N719" s="57">
        <f>IF(E719="","",IFERROR(IF(INDEX(Referensi!$B$5:$B$60,MATCH(E719,Referensi!$A$5:$A$60,0))=D719,"OK","Jenis tidak cocok"),"Kategori tidak dikenal"))</f>
        <v/>
      </c>
    </row>
    <row r="720" ht="15" customHeight="1" s="33">
      <c r="A720" s="57">
        <f>IF(B720="","",ROW()-4)</f>
        <v/>
      </c>
      <c r="B720" s="58" t="n"/>
      <c r="C720" s="38" t="n"/>
      <c r="D720" s="38" t="n"/>
      <c r="E720" s="38" t="n"/>
      <c r="F720" s="57">
        <f>IF(E720="","",IFERROR(INDEX(Referensi!$C$5:$C$60,MATCH(E720,Referensi!$A$5:$A$60,0)),"?"))</f>
        <v/>
      </c>
      <c r="G720" s="38" t="n"/>
      <c r="H720" s="59" t="n"/>
      <c r="I720" s="38" t="n"/>
      <c r="J720" s="39" t="n"/>
      <c r="K720" s="60">
        <f>IF(J720="","",SUMIFS(J$5:J720,D$5:D720,"Masuk")-SUMIFS(J$5:J720,D$5:D720,"Keluar"))</f>
        <v/>
      </c>
      <c r="L720" s="38" t="n"/>
      <c r="M720" s="38" t="n"/>
      <c r="N720" s="57">
        <f>IF(E720="","",IFERROR(IF(INDEX(Referensi!$B$5:$B$60,MATCH(E720,Referensi!$A$5:$A$60,0))=D720,"OK","Jenis tidak cocok"),"Kategori tidak dikenal"))</f>
        <v/>
      </c>
    </row>
    <row r="721" ht="15" customHeight="1" s="33">
      <c r="A721" s="57">
        <f>IF(B721="","",ROW()-4)</f>
        <v/>
      </c>
      <c r="B721" s="58" t="n"/>
      <c r="C721" s="38" t="n"/>
      <c r="D721" s="38" t="n"/>
      <c r="E721" s="38" t="n"/>
      <c r="F721" s="57">
        <f>IF(E721="","",IFERROR(INDEX(Referensi!$C$5:$C$60,MATCH(E721,Referensi!$A$5:$A$60,0)),"?"))</f>
        <v/>
      </c>
      <c r="G721" s="38" t="n"/>
      <c r="H721" s="59" t="n"/>
      <c r="I721" s="38" t="n"/>
      <c r="J721" s="39" t="n"/>
      <c r="K721" s="60">
        <f>IF(J721="","",SUMIFS(J$5:J721,D$5:D721,"Masuk")-SUMIFS(J$5:J721,D$5:D721,"Keluar"))</f>
        <v/>
      </c>
      <c r="L721" s="38" t="n"/>
      <c r="M721" s="38" t="n"/>
      <c r="N721" s="57">
        <f>IF(E721="","",IFERROR(IF(INDEX(Referensi!$B$5:$B$60,MATCH(E721,Referensi!$A$5:$A$60,0))=D721,"OK","Jenis tidak cocok"),"Kategori tidak dikenal"))</f>
        <v/>
      </c>
    </row>
    <row r="722" ht="15" customHeight="1" s="33">
      <c r="A722" s="57">
        <f>IF(B722="","",ROW()-4)</f>
        <v/>
      </c>
      <c r="B722" s="58" t="n"/>
      <c r="C722" s="38" t="n"/>
      <c r="D722" s="38" t="n"/>
      <c r="E722" s="38" t="n"/>
      <c r="F722" s="57">
        <f>IF(E722="","",IFERROR(INDEX(Referensi!$C$5:$C$60,MATCH(E722,Referensi!$A$5:$A$60,0)),"?"))</f>
        <v/>
      </c>
      <c r="G722" s="38" t="n"/>
      <c r="H722" s="59" t="n"/>
      <c r="I722" s="38" t="n"/>
      <c r="J722" s="39" t="n"/>
      <c r="K722" s="60">
        <f>IF(J722="","",SUMIFS(J$5:J722,D$5:D722,"Masuk")-SUMIFS(J$5:J722,D$5:D722,"Keluar"))</f>
        <v/>
      </c>
      <c r="L722" s="38" t="n"/>
      <c r="M722" s="38" t="n"/>
      <c r="N722" s="57">
        <f>IF(E722="","",IFERROR(IF(INDEX(Referensi!$B$5:$B$60,MATCH(E722,Referensi!$A$5:$A$60,0))=D722,"OK","Jenis tidak cocok"),"Kategori tidak dikenal"))</f>
        <v/>
      </c>
    </row>
    <row r="723" ht="15" customHeight="1" s="33">
      <c r="A723" s="57">
        <f>IF(B723="","",ROW()-4)</f>
        <v/>
      </c>
      <c r="B723" s="58" t="n"/>
      <c r="C723" s="38" t="n"/>
      <c r="D723" s="38" t="n"/>
      <c r="E723" s="38" t="n"/>
      <c r="F723" s="57">
        <f>IF(E723="","",IFERROR(INDEX(Referensi!$C$5:$C$60,MATCH(E723,Referensi!$A$5:$A$60,0)),"?"))</f>
        <v/>
      </c>
      <c r="G723" s="38" t="n"/>
      <c r="H723" s="59" t="n"/>
      <c r="I723" s="38" t="n"/>
      <c r="J723" s="39" t="n"/>
      <c r="K723" s="60">
        <f>IF(J723="","",SUMIFS(J$5:J723,D$5:D723,"Masuk")-SUMIFS(J$5:J723,D$5:D723,"Keluar"))</f>
        <v/>
      </c>
      <c r="L723" s="38" t="n"/>
      <c r="M723" s="38" t="n"/>
      <c r="N723" s="57">
        <f>IF(E723="","",IFERROR(IF(INDEX(Referensi!$B$5:$B$60,MATCH(E723,Referensi!$A$5:$A$60,0))=D723,"OK","Jenis tidak cocok"),"Kategori tidak dikenal"))</f>
        <v/>
      </c>
    </row>
    <row r="724" ht="15" customHeight="1" s="33">
      <c r="A724" s="57">
        <f>IF(B724="","",ROW()-4)</f>
        <v/>
      </c>
      <c r="B724" s="58" t="n"/>
      <c r="C724" s="38" t="n"/>
      <c r="D724" s="38" t="n"/>
      <c r="E724" s="38" t="n"/>
      <c r="F724" s="57">
        <f>IF(E724="","",IFERROR(INDEX(Referensi!$C$5:$C$60,MATCH(E724,Referensi!$A$5:$A$60,0)),"?"))</f>
        <v/>
      </c>
      <c r="G724" s="38" t="n"/>
      <c r="H724" s="59" t="n"/>
      <c r="I724" s="38" t="n"/>
      <c r="J724" s="39" t="n"/>
      <c r="K724" s="60">
        <f>IF(J724="","",SUMIFS(J$5:J724,D$5:D724,"Masuk")-SUMIFS(J$5:J724,D$5:D724,"Keluar"))</f>
        <v/>
      </c>
      <c r="L724" s="38" t="n"/>
      <c r="M724" s="38" t="n"/>
      <c r="N724" s="57">
        <f>IF(E724="","",IFERROR(IF(INDEX(Referensi!$B$5:$B$60,MATCH(E724,Referensi!$A$5:$A$60,0))=D724,"OK","Jenis tidak cocok"),"Kategori tidak dikenal"))</f>
        <v/>
      </c>
    </row>
    <row r="725" ht="15" customHeight="1" s="33">
      <c r="A725" s="57">
        <f>IF(B725="","",ROW()-4)</f>
        <v/>
      </c>
      <c r="B725" s="58" t="n"/>
      <c r="C725" s="38" t="n"/>
      <c r="D725" s="38" t="n"/>
      <c r="E725" s="38" t="n"/>
      <c r="F725" s="57">
        <f>IF(E725="","",IFERROR(INDEX(Referensi!$C$5:$C$60,MATCH(E725,Referensi!$A$5:$A$60,0)),"?"))</f>
        <v/>
      </c>
      <c r="G725" s="38" t="n"/>
      <c r="H725" s="59" t="n"/>
      <c r="I725" s="38" t="n"/>
      <c r="J725" s="39" t="n"/>
      <c r="K725" s="60">
        <f>IF(J725="","",SUMIFS(J$5:J725,D$5:D725,"Masuk")-SUMIFS(J$5:J725,D$5:D725,"Keluar"))</f>
        <v/>
      </c>
      <c r="L725" s="38" t="n"/>
      <c r="M725" s="38" t="n"/>
      <c r="N725" s="57">
        <f>IF(E725="","",IFERROR(IF(INDEX(Referensi!$B$5:$B$60,MATCH(E725,Referensi!$A$5:$A$60,0))=D725,"OK","Jenis tidak cocok"),"Kategori tidak dikenal"))</f>
        <v/>
      </c>
    </row>
    <row r="726" ht="15" customHeight="1" s="33">
      <c r="A726" s="57">
        <f>IF(B726="","",ROW()-4)</f>
        <v/>
      </c>
      <c r="B726" s="58" t="n"/>
      <c r="C726" s="38" t="n"/>
      <c r="D726" s="38" t="n"/>
      <c r="E726" s="38" t="n"/>
      <c r="F726" s="57">
        <f>IF(E726="","",IFERROR(INDEX(Referensi!$C$5:$C$60,MATCH(E726,Referensi!$A$5:$A$60,0)),"?"))</f>
        <v/>
      </c>
      <c r="G726" s="38" t="n"/>
      <c r="H726" s="59" t="n"/>
      <c r="I726" s="38" t="n"/>
      <c r="J726" s="39" t="n"/>
      <c r="K726" s="60">
        <f>IF(J726="","",SUMIFS(J$5:J726,D$5:D726,"Masuk")-SUMIFS(J$5:J726,D$5:D726,"Keluar"))</f>
        <v/>
      </c>
      <c r="L726" s="38" t="n"/>
      <c r="M726" s="38" t="n"/>
      <c r="N726" s="57">
        <f>IF(E726="","",IFERROR(IF(INDEX(Referensi!$B$5:$B$60,MATCH(E726,Referensi!$A$5:$A$60,0))=D726,"OK","Jenis tidak cocok"),"Kategori tidak dikenal"))</f>
        <v/>
      </c>
    </row>
    <row r="727" ht="15" customHeight="1" s="33">
      <c r="A727" s="57">
        <f>IF(B727="","",ROW()-4)</f>
        <v/>
      </c>
      <c r="B727" s="58" t="n"/>
      <c r="C727" s="38" t="n"/>
      <c r="D727" s="38" t="n"/>
      <c r="E727" s="38" t="n"/>
      <c r="F727" s="57">
        <f>IF(E727="","",IFERROR(INDEX(Referensi!$C$5:$C$60,MATCH(E727,Referensi!$A$5:$A$60,0)),"?"))</f>
        <v/>
      </c>
      <c r="G727" s="38" t="n"/>
      <c r="H727" s="59" t="n"/>
      <c r="I727" s="38" t="n"/>
      <c r="J727" s="39" t="n"/>
      <c r="K727" s="60">
        <f>IF(J727="","",SUMIFS(J$5:J727,D$5:D727,"Masuk")-SUMIFS(J$5:J727,D$5:D727,"Keluar"))</f>
        <v/>
      </c>
      <c r="L727" s="38" t="n"/>
      <c r="M727" s="38" t="n"/>
      <c r="N727" s="57">
        <f>IF(E727="","",IFERROR(IF(INDEX(Referensi!$B$5:$B$60,MATCH(E727,Referensi!$A$5:$A$60,0))=D727,"OK","Jenis tidak cocok"),"Kategori tidak dikenal"))</f>
        <v/>
      </c>
    </row>
    <row r="728" ht="15" customHeight="1" s="33">
      <c r="A728" s="57">
        <f>IF(B728="","",ROW()-4)</f>
        <v/>
      </c>
      <c r="B728" s="58" t="n"/>
      <c r="C728" s="38" t="n"/>
      <c r="D728" s="38" t="n"/>
      <c r="E728" s="38" t="n"/>
      <c r="F728" s="57">
        <f>IF(E728="","",IFERROR(INDEX(Referensi!$C$5:$C$60,MATCH(E728,Referensi!$A$5:$A$60,0)),"?"))</f>
        <v/>
      </c>
      <c r="G728" s="38" t="n"/>
      <c r="H728" s="59" t="n"/>
      <c r="I728" s="38" t="n"/>
      <c r="J728" s="39" t="n"/>
      <c r="K728" s="60">
        <f>IF(J728="","",SUMIFS(J$5:J728,D$5:D728,"Masuk")-SUMIFS(J$5:J728,D$5:D728,"Keluar"))</f>
        <v/>
      </c>
      <c r="L728" s="38" t="n"/>
      <c r="M728" s="38" t="n"/>
      <c r="N728" s="57">
        <f>IF(E728="","",IFERROR(IF(INDEX(Referensi!$B$5:$B$60,MATCH(E728,Referensi!$A$5:$A$60,0))=D728,"OK","Jenis tidak cocok"),"Kategori tidak dikenal"))</f>
        <v/>
      </c>
    </row>
    <row r="729" ht="15" customHeight="1" s="33">
      <c r="A729" s="57">
        <f>IF(B729="","",ROW()-4)</f>
        <v/>
      </c>
      <c r="B729" s="58" t="n"/>
      <c r="C729" s="38" t="n"/>
      <c r="D729" s="38" t="n"/>
      <c r="E729" s="38" t="n"/>
      <c r="F729" s="57">
        <f>IF(E729="","",IFERROR(INDEX(Referensi!$C$5:$C$60,MATCH(E729,Referensi!$A$5:$A$60,0)),"?"))</f>
        <v/>
      </c>
      <c r="G729" s="38" t="n"/>
      <c r="H729" s="59" t="n"/>
      <c r="I729" s="38" t="n"/>
      <c r="J729" s="39" t="n"/>
      <c r="K729" s="60">
        <f>IF(J729="","",SUMIFS(J$5:J729,D$5:D729,"Masuk")-SUMIFS(J$5:J729,D$5:D729,"Keluar"))</f>
        <v/>
      </c>
      <c r="L729" s="38" t="n"/>
      <c r="M729" s="38" t="n"/>
      <c r="N729" s="57">
        <f>IF(E729="","",IFERROR(IF(INDEX(Referensi!$B$5:$B$60,MATCH(E729,Referensi!$A$5:$A$60,0))=D729,"OK","Jenis tidak cocok"),"Kategori tidak dikenal"))</f>
        <v/>
      </c>
    </row>
    <row r="730" ht="15" customHeight="1" s="33">
      <c r="A730" s="57">
        <f>IF(B730="","",ROW()-4)</f>
        <v/>
      </c>
      <c r="B730" s="58" t="n"/>
      <c r="C730" s="38" t="n"/>
      <c r="D730" s="38" t="n"/>
      <c r="E730" s="38" t="n"/>
      <c r="F730" s="57">
        <f>IF(E730="","",IFERROR(INDEX(Referensi!$C$5:$C$60,MATCH(E730,Referensi!$A$5:$A$60,0)),"?"))</f>
        <v/>
      </c>
      <c r="G730" s="38" t="n"/>
      <c r="H730" s="59" t="n"/>
      <c r="I730" s="38" t="n"/>
      <c r="J730" s="39" t="n"/>
      <c r="K730" s="60">
        <f>IF(J730="","",SUMIFS(J$5:J730,D$5:D730,"Masuk")-SUMIFS(J$5:J730,D$5:D730,"Keluar"))</f>
        <v/>
      </c>
      <c r="L730" s="38" t="n"/>
      <c r="M730" s="38" t="n"/>
      <c r="N730" s="57">
        <f>IF(E730="","",IFERROR(IF(INDEX(Referensi!$B$5:$B$60,MATCH(E730,Referensi!$A$5:$A$60,0))=D730,"OK","Jenis tidak cocok"),"Kategori tidak dikenal"))</f>
        <v/>
      </c>
    </row>
    <row r="731" ht="15" customHeight="1" s="33">
      <c r="A731" s="57">
        <f>IF(B731="","",ROW()-4)</f>
        <v/>
      </c>
      <c r="B731" s="58" t="n"/>
      <c r="C731" s="38" t="n"/>
      <c r="D731" s="38" t="n"/>
      <c r="E731" s="38" t="n"/>
      <c r="F731" s="57">
        <f>IF(E731="","",IFERROR(INDEX(Referensi!$C$5:$C$60,MATCH(E731,Referensi!$A$5:$A$60,0)),"?"))</f>
        <v/>
      </c>
      <c r="G731" s="38" t="n"/>
      <c r="H731" s="59" t="n"/>
      <c r="I731" s="38" t="n"/>
      <c r="J731" s="39" t="n"/>
      <c r="K731" s="60">
        <f>IF(J731="","",SUMIFS(J$5:J731,D$5:D731,"Masuk")-SUMIFS(J$5:J731,D$5:D731,"Keluar"))</f>
        <v/>
      </c>
      <c r="L731" s="38" t="n"/>
      <c r="M731" s="38" t="n"/>
      <c r="N731" s="57">
        <f>IF(E731="","",IFERROR(IF(INDEX(Referensi!$B$5:$B$60,MATCH(E731,Referensi!$A$5:$A$60,0))=D731,"OK","Jenis tidak cocok"),"Kategori tidak dikenal"))</f>
        <v/>
      </c>
    </row>
    <row r="732" ht="15" customHeight="1" s="33">
      <c r="A732" s="57">
        <f>IF(B732="","",ROW()-4)</f>
        <v/>
      </c>
      <c r="B732" s="58" t="n"/>
      <c r="C732" s="38" t="n"/>
      <c r="D732" s="38" t="n"/>
      <c r="E732" s="38" t="n"/>
      <c r="F732" s="57">
        <f>IF(E732="","",IFERROR(INDEX(Referensi!$C$5:$C$60,MATCH(E732,Referensi!$A$5:$A$60,0)),"?"))</f>
        <v/>
      </c>
      <c r="G732" s="38" t="n"/>
      <c r="H732" s="59" t="n"/>
      <c r="I732" s="38" t="n"/>
      <c r="J732" s="39" t="n"/>
      <c r="K732" s="60">
        <f>IF(J732="","",SUMIFS(J$5:J732,D$5:D732,"Masuk")-SUMIFS(J$5:J732,D$5:D732,"Keluar"))</f>
        <v/>
      </c>
      <c r="L732" s="38" t="n"/>
      <c r="M732" s="38" t="n"/>
      <c r="N732" s="57">
        <f>IF(E732="","",IFERROR(IF(INDEX(Referensi!$B$5:$B$60,MATCH(E732,Referensi!$A$5:$A$60,0))=D732,"OK","Jenis tidak cocok"),"Kategori tidak dikenal"))</f>
        <v/>
      </c>
    </row>
    <row r="733" ht="15" customHeight="1" s="33">
      <c r="A733" s="57">
        <f>IF(B733="","",ROW()-4)</f>
        <v/>
      </c>
      <c r="B733" s="58" t="n"/>
      <c r="C733" s="38" t="n"/>
      <c r="D733" s="38" t="n"/>
      <c r="E733" s="38" t="n"/>
      <c r="F733" s="57">
        <f>IF(E733="","",IFERROR(INDEX(Referensi!$C$5:$C$60,MATCH(E733,Referensi!$A$5:$A$60,0)),"?"))</f>
        <v/>
      </c>
      <c r="G733" s="38" t="n"/>
      <c r="H733" s="59" t="n"/>
      <c r="I733" s="38" t="n"/>
      <c r="J733" s="39" t="n"/>
      <c r="K733" s="60">
        <f>IF(J733="","",SUMIFS(J$5:J733,D$5:D733,"Masuk")-SUMIFS(J$5:J733,D$5:D733,"Keluar"))</f>
        <v/>
      </c>
      <c r="L733" s="38" t="n"/>
      <c r="M733" s="38" t="n"/>
      <c r="N733" s="57">
        <f>IF(E733="","",IFERROR(IF(INDEX(Referensi!$B$5:$B$60,MATCH(E733,Referensi!$A$5:$A$60,0))=D733,"OK","Jenis tidak cocok"),"Kategori tidak dikenal"))</f>
        <v/>
      </c>
    </row>
    <row r="734" ht="15" customHeight="1" s="33">
      <c r="A734" s="57">
        <f>IF(B734="","",ROW()-4)</f>
        <v/>
      </c>
      <c r="B734" s="58" t="n"/>
      <c r="C734" s="38" t="n"/>
      <c r="D734" s="38" t="n"/>
      <c r="E734" s="38" t="n"/>
      <c r="F734" s="57">
        <f>IF(E734="","",IFERROR(INDEX(Referensi!$C$5:$C$60,MATCH(E734,Referensi!$A$5:$A$60,0)),"?"))</f>
        <v/>
      </c>
      <c r="G734" s="38" t="n"/>
      <c r="H734" s="59" t="n"/>
      <c r="I734" s="38" t="n"/>
      <c r="J734" s="39" t="n"/>
      <c r="K734" s="60">
        <f>IF(J734="","",SUMIFS(J$5:J734,D$5:D734,"Masuk")-SUMIFS(J$5:J734,D$5:D734,"Keluar"))</f>
        <v/>
      </c>
      <c r="L734" s="38" t="n"/>
      <c r="M734" s="38" t="n"/>
      <c r="N734" s="57">
        <f>IF(E734="","",IFERROR(IF(INDEX(Referensi!$B$5:$B$60,MATCH(E734,Referensi!$A$5:$A$60,0))=D734,"OK","Jenis tidak cocok"),"Kategori tidak dikenal"))</f>
        <v/>
      </c>
    </row>
    <row r="735" ht="15" customHeight="1" s="33">
      <c r="A735" s="57">
        <f>IF(B735="","",ROW()-4)</f>
        <v/>
      </c>
      <c r="B735" s="58" t="n"/>
      <c r="C735" s="38" t="n"/>
      <c r="D735" s="38" t="n"/>
      <c r="E735" s="38" t="n"/>
      <c r="F735" s="57">
        <f>IF(E735="","",IFERROR(INDEX(Referensi!$C$5:$C$60,MATCH(E735,Referensi!$A$5:$A$60,0)),"?"))</f>
        <v/>
      </c>
      <c r="G735" s="38" t="n"/>
      <c r="H735" s="59" t="n"/>
      <c r="I735" s="38" t="n"/>
      <c r="J735" s="39" t="n"/>
      <c r="K735" s="60">
        <f>IF(J735="","",SUMIFS(J$5:J735,D$5:D735,"Masuk")-SUMIFS(J$5:J735,D$5:D735,"Keluar"))</f>
        <v/>
      </c>
      <c r="L735" s="38" t="n"/>
      <c r="M735" s="38" t="n"/>
      <c r="N735" s="57">
        <f>IF(E735="","",IFERROR(IF(INDEX(Referensi!$B$5:$B$60,MATCH(E735,Referensi!$A$5:$A$60,0))=D735,"OK","Jenis tidak cocok"),"Kategori tidak dikenal"))</f>
        <v/>
      </c>
    </row>
    <row r="736" ht="15" customHeight="1" s="33">
      <c r="A736" s="57">
        <f>IF(B736="","",ROW()-4)</f>
        <v/>
      </c>
      <c r="B736" s="58" t="n"/>
      <c r="C736" s="38" t="n"/>
      <c r="D736" s="38" t="n"/>
      <c r="E736" s="38" t="n"/>
      <c r="F736" s="57">
        <f>IF(E736="","",IFERROR(INDEX(Referensi!$C$5:$C$60,MATCH(E736,Referensi!$A$5:$A$60,0)),"?"))</f>
        <v/>
      </c>
      <c r="G736" s="38" t="n"/>
      <c r="H736" s="59" t="n"/>
      <c r="I736" s="38" t="n"/>
      <c r="J736" s="39" t="n"/>
      <c r="K736" s="60">
        <f>IF(J736="","",SUMIFS(J$5:J736,D$5:D736,"Masuk")-SUMIFS(J$5:J736,D$5:D736,"Keluar"))</f>
        <v/>
      </c>
      <c r="L736" s="38" t="n"/>
      <c r="M736" s="38" t="n"/>
      <c r="N736" s="57">
        <f>IF(E736="","",IFERROR(IF(INDEX(Referensi!$B$5:$B$60,MATCH(E736,Referensi!$A$5:$A$60,0))=D736,"OK","Jenis tidak cocok"),"Kategori tidak dikenal"))</f>
        <v/>
      </c>
    </row>
    <row r="737" ht="15" customHeight="1" s="33">
      <c r="A737" s="57">
        <f>IF(B737="","",ROW()-4)</f>
        <v/>
      </c>
      <c r="B737" s="58" t="n"/>
      <c r="C737" s="38" t="n"/>
      <c r="D737" s="38" t="n"/>
      <c r="E737" s="38" t="n"/>
      <c r="F737" s="57">
        <f>IF(E737="","",IFERROR(INDEX(Referensi!$C$5:$C$60,MATCH(E737,Referensi!$A$5:$A$60,0)),"?"))</f>
        <v/>
      </c>
      <c r="G737" s="38" t="n"/>
      <c r="H737" s="59" t="n"/>
      <c r="I737" s="38" t="n"/>
      <c r="J737" s="39" t="n"/>
      <c r="K737" s="60">
        <f>IF(J737="","",SUMIFS(J$5:J737,D$5:D737,"Masuk")-SUMIFS(J$5:J737,D$5:D737,"Keluar"))</f>
        <v/>
      </c>
      <c r="L737" s="38" t="n"/>
      <c r="M737" s="38" t="n"/>
      <c r="N737" s="57">
        <f>IF(E737="","",IFERROR(IF(INDEX(Referensi!$B$5:$B$60,MATCH(E737,Referensi!$A$5:$A$60,0))=D737,"OK","Jenis tidak cocok"),"Kategori tidak dikenal"))</f>
        <v/>
      </c>
    </row>
    <row r="738" ht="15" customHeight="1" s="33">
      <c r="A738" s="57">
        <f>IF(B738="","",ROW()-4)</f>
        <v/>
      </c>
      <c r="B738" s="58" t="n"/>
      <c r="C738" s="38" t="n"/>
      <c r="D738" s="38" t="n"/>
      <c r="E738" s="38" t="n"/>
      <c r="F738" s="57">
        <f>IF(E738="","",IFERROR(INDEX(Referensi!$C$5:$C$60,MATCH(E738,Referensi!$A$5:$A$60,0)),"?"))</f>
        <v/>
      </c>
      <c r="G738" s="38" t="n"/>
      <c r="H738" s="59" t="n"/>
      <c r="I738" s="38" t="n"/>
      <c r="J738" s="39" t="n"/>
      <c r="K738" s="60">
        <f>IF(J738="","",SUMIFS(J$5:J738,D$5:D738,"Masuk")-SUMIFS(J$5:J738,D$5:D738,"Keluar"))</f>
        <v/>
      </c>
      <c r="L738" s="38" t="n"/>
      <c r="M738" s="38" t="n"/>
      <c r="N738" s="57">
        <f>IF(E738="","",IFERROR(IF(INDEX(Referensi!$B$5:$B$60,MATCH(E738,Referensi!$A$5:$A$60,0))=D738,"OK","Jenis tidak cocok"),"Kategori tidak dikenal"))</f>
        <v/>
      </c>
    </row>
    <row r="739" ht="15" customHeight="1" s="33">
      <c r="A739" s="57">
        <f>IF(B739="","",ROW()-4)</f>
        <v/>
      </c>
      <c r="B739" s="58" t="n"/>
      <c r="C739" s="38" t="n"/>
      <c r="D739" s="38" t="n"/>
      <c r="E739" s="38" t="n"/>
      <c r="F739" s="57">
        <f>IF(E739="","",IFERROR(INDEX(Referensi!$C$5:$C$60,MATCH(E739,Referensi!$A$5:$A$60,0)),"?"))</f>
        <v/>
      </c>
      <c r="G739" s="38" t="n"/>
      <c r="H739" s="59" t="n"/>
      <c r="I739" s="38" t="n"/>
      <c r="J739" s="39" t="n"/>
      <c r="K739" s="60">
        <f>IF(J739="","",SUMIFS(J$5:J739,D$5:D739,"Masuk")-SUMIFS(J$5:J739,D$5:D739,"Keluar"))</f>
        <v/>
      </c>
      <c r="L739" s="38" t="n"/>
      <c r="M739" s="38" t="n"/>
      <c r="N739" s="57">
        <f>IF(E739="","",IFERROR(IF(INDEX(Referensi!$B$5:$B$60,MATCH(E739,Referensi!$A$5:$A$60,0))=D739,"OK","Jenis tidak cocok"),"Kategori tidak dikenal"))</f>
        <v/>
      </c>
    </row>
    <row r="740" ht="15" customHeight="1" s="33">
      <c r="A740" s="57">
        <f>IF(B740="","",ROW()-4)</f>
        <v/>
      </c>
      <c r="B740" s="58" t="n"/>
      <c r="C740" s="38" t="n"/>
      <c r="D740" s="38" t="n"/>
      <c r="E740" s="38" t="n"/>
      <c r="F740" s="57">
        <f>IF(E740="","",IFERROR(INDEX(Referensi!$C$5:$C$60,MATCH(E740,Referensi!$A$5:$A$60,0)),"?"))</f>
        <v/>
      </c>
      <c r="G740" s="38" t="n"/>
      <c r="H740" s="59" t="n"/>
      <c r="I740" s="38" t="n"/>
      <c r="J740" s="39" t="n"/>
      <c r="K740" s="60">
        <f>IF(J740="","",SUMIFS(J$5:J740,D$5:D740,"Masuk")-SUMIFS(J$5:J740,D$5:D740,"Keluar"))</f>
        <v/>
      </c>
      <c r="L740" s="38" t="n"/>
      <c r="M740" s="38" t="n"/>
      <c r="N740" s="57">
        <f>IF(E740="","",IFERROR(IF(INDEX(Referensi!$B$5:$B$60,MATCH(E740,Referensi!$A$5:$A$60,0))=D740,"OK","Jenis tidak cocok"),"Kategori tidak dikenal"))</f>
        <v/>
      </c>
    </row>
    <row r="741" ht="15" customHeight="1" s="33">
      <c r="A741" s="57">
        <f>IF(B741="","",ROW()-4)</f>
        <v/>
      </c>
      <c r="B741" s="58" t="n"/>
      <c r="C741" s="38" t="n"/>
      <c r="D741" s="38" t="n"/>
      <c r="E741" s="38" t="n"/>
      <c r="F741" s="57">
        <f>IF(E741="","",IFERROR(INDEX(Referensi!$C$5:$C$60,MATCH(E741,Referensi!$A$5:$A$60,0)),"?"))</f>
        <v/>
      </c>
      <c r="G741" s="38" t="n"/>
      <c r="H741" s="59" t="n"/>
      <c r="I741" s="38" t="n"/>
      <c r="J741" s="39" t="n"/>
      <c r="K741" s="60">
        <f>IF(J741="","",SUMIFS(J$5:J741,D$5:D741,"Masuk")-SUMIFS(J$5:J741,D$5:D741,"Keluar"))</f>
        <v/>
      </c>
      <c r="L741" s="38" t="n"/>
      <c r="M741" s="38" t="n"/>
      <c r="N741" s="57">
        <f>IF(E741="","",IFERROR(IF(INDEX(Referensi!$B$5:$B$60,MATCH(E741,Referensi!$A$5:$A$60,0))=D741,"OK","Jenis tidak cocok"),"Kategori tidak dikenal"))</f>
        <v/>
      </c>
    </row>
    <row r="742" ht="15" customHeight="1" s="33">
      <c r="A742" s="57">
        <f>IF(B742="","",ROW()-4)</f>
        <v/>
      </c>
      <c r="B742" s="58" t="n"/>
      <c r="C742" s="38" t="n"/>
      <c r="D742" s="38" t="n"/>
      <c r="E742" s="38" t="n"/>
      <c r="F742" s="57">
        <f>IF(E742="","",IFERROR(INDEX(Referensi!$C$5:$C$60,MATCH(E742,Referensi!$A$5:$A$60,0)),"?"))</f>
        <v/>
      </c>
      <c r="G742" s="38" t="n"/>
      <c r="H742" s="59" t="n"/>
      <c r="I742" s="38" t="n"/>
      <c r="J742" s="39" t="n"/>
      <c r="K742" s="60">
        <f>IF(J742="","",SUMIFS(J$5:J742,D$5:D742,"Masuk")-SUMIFS(J$5:J742,D$5:D742,"Keluar"))</f>
        <v/>
      </c>
      <c r="L742" s="38" t="n"/>
      <c r="M742" s="38" t="n"/>
      <c r="N742" s="57">
        <f>IF(E742="","",IFERROR(IF(INDEX(Referensi!$B$5:$B$60,MATCH(E742,Referensi!$A$5:$A$60,0))=D742,"OK","Jenis tidak cocok"),"Kategori tidak dikenal"))</f>
        <v/>
      </c>
    </row>
    <row r="743" ht="15" customHeight="1" s="33">
      <c r="A743" s="57">
        <f>IF(B743="","",ROW()-4)</f>
        <v/>
      </c>
      <c r="B743" s="58" t="n"/>
      <c r="C743" s="38" t="n"/>
      <c r="D743" s="38" t="n"/>
      <c r="E743" s="38" t="n"/>
      <c r="F743" s="57">
        <f>IF(E743="","",IFERROR(INDEX(Referensi!$C$5:$C$60,MATCH(E743,Referensi!$A$5:$A$60,0)),"?"))</f>
        <v/>
      </c>
      <c r="G743" s="38" t="n"/>
      <c r="H743" s="59" t="n"/>
      <c r="I743" s="38" t="n"/>
      <c r="J743" s="39" t="n"/>
      <c r="K743" s="60">
        <f>IF(J743="","",SUMIFS(J$5:J743,D$5:D743,"Masuk")-SUMIFS(J$5:J743,D$5:D743,"Keluar"))</f>
        <v/>
      </c>
      <c r="L743" s="38" t="n"/>
      <c r="M743" s="38" t="n"/>
      <c r="N743" s="57">
        <f>IF(E743="","",IFERROR(IF(INDEX(Referensi!$B$5:$B$60,MATCH(E743,Referensi!$A$5:$A$60,0))=D743,"OK","Jenis tidak cocok"),"Kategori tidak dikenal"))</f>
        <v/>
      </c>
    </row>
    <row r="744" ht="15" customHeight="1" s="33">
      <c r="A744" s="57">
        <f>IF(B744="","",ROW()-4)</f>
        <v/>
      </c>
      <c r="B744" s="58" t="n"/>
      <c r="C744" s="38" t="n"/>
      <c r="D744" s="38" t="n"/>
      <c r="E744" s="38" t="n"/>
      <c r="F744" s="57">
        <f>IF(E744="","",IFERROR(INDEX(Referensi!$C$5:$C$60,MATCH(E744,Referensi!$A$5:$A$60,0)),"?"))</f>
        <v/>
      </c>
      <c r="G744" s="38" t="n"/>
      <c r="H744" s="59" t="n"/>
      <c r="I744" s="38" t="n"/>
      <c r="J744" s="39" t="n"/>
      <c r="K744" s="60">
        <f>IF(J744="","",SUMIFS(J$5:J744,D$5:D744,"Masuk")-SUMIFS(J$5:J744,D$5:D744,"Keluar"))</f>
        <v/>
      </c>
      <c r="L744" s="38" t="n"/>
      <c r="M744" s="38" t="n"/>
      <c r="N744" s="57">
        <f>IF(E744="","",IFERROR(IF(INDEX(Referensi!$B$5:$B$60,MATCH(E744,Referensi!$A$5:$A$60,0))=D744,"OK","Jenis tidak cocok"),"Kategori tidak dikenal"))</f>
        <v/>
      </c>
    </row>
    <row r="745" ht="15" customHeight="1" s="33">
      <c r="A745" s="57">
        <f>IF(B745="","",ROW()-4)</f>
        <v/>
      </c>
      <c r="B745" s="58" t="n"/>
      <c r="C745" s="38" t="n"/>
      <c r="D745" s="38" t="n"/>
      <c r="E745" s="38" t="n"/>
      <c r="F745" s="57">
        <f>IF(E745="","",IFERROR(INDEX(Referensi!$C$5:$C$60,MATCH(E745,Referensi!$A$5:$A$60,0)),"?"))</f>
        <v/>
      </c>
      <c r="G745" s="38" t="n"/>
      <c r="H745" s="59" t="n"/>
      <c r="I745" s="38" t="n"/>
      <c r="J745" s="39" t="n"/>
      <c r="K745" s="60">
        <f>IF(J745="","",SUMIFS(J$5:J745,D$5:D745,"Masuk")-SUMIFS(J$5:J745,D$5:D745,"Keluar"))</f>
        <v/>
      </c>
      <c r="L745" s="38" t="n"/>
      <c r="M745" s="38" t="n"/>
      <c r="N745" s="57">
        <f>IF(E745="","",IFERROR(IF(INDEX(Referensi!$B$5:$B$60,MATCH(E745,Referensi!$A$5:$A$60,0))=D745,"OK","Jenis tidak cocok"),"Kategori tidak dikenal"))</f>
        <v/>
      </c>
    </row>
    <row r="746" ht="15" customHeight="1" s="33">
      <c r="A746" s="57">
        <f>IF(B746="","",ROW()-4)</f>
        <v/>
      </c>
      <c r="B746" s="58" t="n"/>
      <c r="C746" s="38" t="n"/>
      <c r="D746" s="38" t="n"/>
      <c r="E746" s="38" t="n"/>
      <c r="F746" s="57">
        <f>IF(E746="","",IFERROR(INDEX(Referensi!$C$5:$C$60,MATCH(E746,Referensi!$A$5:$A$60,0)),"?"))</f>
        <v/>
      </c>
      <c r="G746" s="38" t="n"/>
      <c r="H746" s="59" t="n"/>
      <c r="I746" s="38" t="n"/>
      <c r="J746" s="39" t="n"/>
      <c r="K746" s="60">
        <f>IF(J746="","",SUMIFS(J$5:J746,D$5:D746,"Masuk")-SUMIFS(J$5:J746,D$5:D746,"Keluar"))</f>
        <v/>
      </c>
      <c r="L746" s="38" t="n"/>
      <c r="M746" s="38" t="n"/>
      <c r="N746" s="57">
        <f>IF(E746="","",IFERROR(IF(INDEX(Referensi!$B$5:$B$60,MATCH(E746,Referensi!$A$5:$A$60,0))=D746,"OK","Jenis tidak cocok"),"Kategori tidak dikenal"))</f>
        <v/>
      </c>
    </row>
    <row r="747" ht="15" customHeight="1" s="33">
      <c r="A747" s="57">
        <f>IF(B747="","",ROW()-4)</f>
        <v/>
      </c>
      <c r="B747" s="58" t="n"/>
      <c r="C747" s="38" t="n"/>
      <c r="D747" s="38" t="n"/>
      <c r="E747" s="38" t="n"/>
      <c r="F747" s="57">
        <f>IF(E747="","",IFERROR(INDEX(Referensi!$C$5:$C$60,MATCH(E747,Referensi!$A$5:$A$60,0)),"?"))</f>
        <v/>
      </c>
      <c r="G747" s="38" t="n"/>
      <c r="H747" s="59" t="n"/>
      <c r="I747" s="38" t="n"/>
      <c r="J747" s="39" t="n"/>
      <c r="K747" s="60">
        <f>IF(J747="","",SUMIFS(J$5:J747,D$5:D747,"Masuk")-SUMIFS(J$5:J747,D$5:D747,"Keluar"))</f>
        <v/>
      </c>
      <c r="L747" s="38" t="n"/>
      <c r="M747" s="38" t="n"/>
      <c r="N747" s="57">
        <f>IF(E747="","",IFERROR(IF(INDEX(Referensi!$B$5:$B$60,MATCH(E747,Referensi!$A$5:$A$60,0))=D747,"OK","Jenis tidak cocok"),"Kategori tidak dikenal"))</f>
        <v/>
      </c>
    </row>
    <row r="748" ht="15" customHeight="1" s="33">
      <c r="A748" s="57">
        <f>IF(B748="","",ROW()-4)</f>
        <v/>
      </c>
      <c r="B748" s="58" t="n"/>
      <c r="C748" s="38" t="n"/>
      <c r="D748" s="38" t="n"/>
      <c r="E748" s="38" t="n"/>
      <c r="F748" s="57">
        <f>IF(E748="","",IFERROR(INDEX(Referensi!$C$5:$C$60,MATCH(E748,Referensi!$A$5:$A$60,0)),"?"))</f>
        <v/>
      </c>
      <c r="G748" s="38" t="n"/>
      <c r="H748" s="59" t="n"/>
      <c r="I748" s="38" t="n"/>
      <c r="J748" s="39" t="n"/>
      <c r="K748" s="60">
        <f>IF(J748="","",SUMIFS(J$5:J748,D$5:D748,"Masuk")-SUMIFS(J$5:J748,D$5:D748,"Keluar"))</f>
        <v/>
      </c>
      <c r="L748" s="38" t="n"/>
      <c r="M748" s="38" t="n"/>
      <c r="N748" s="57">
        <f>IF(E748="","",IFERROR(IF(INDEX(Referensi!$B$5:$B$60,MATCH(E748,Referensi!$A$5:$A$60,0))=D748,"OK","Jenis tidak cocok"),"Kategori tidak dikenal"))</f>
        <v/>
      </c>
    </row>
    <row r="749" ht="15" customHeight="1" s="33">
      <c r="A749" s="57">
        <f>IF(B749="","",ROW()-4)</f>
        <v/>
      </c>
      <c r="B749" s="58" t="n"/>
      <c r="C749" s="38" t="n"/>
      <c r="D749" s="38" t="n"/>
      <c r="E749" s="38" t="n"/>
      <c r="F749" s="57">
        <f>IF(E749="","",IFERROR(INDEX(Referensi!$C$5:$C$60,MATCH(E749,Referensi!$A$5:$A$60,0)),"?"))</f>
        <v/>
      </c>
      <c r="G749" s="38" t="n"/>
      <c r="H749" s="59" t="n"/>
      <c r="I749" s="38" t="n"/>
      <c r="J749" s="39" t="n"/>
      <c r="K749" s="60">
        <f>IF(J749="","",SUMIFS(J$5:J749,D$5:D749,"Masuk")-SUMIFS(J$5:J749,D$5:D749,"Keluar"))</f>
        <v/>
      </c>
      <c r="L749" s="38" t="n"/>
      <c r="M749" s="38" t="n"/>
      <c r="N749" s="57">
        <f>IF(E749="","",IFERROR(IF(INDEX(Referensi!$B$5:$B$60,MATCH(E749,Referensi!$A$5:$A$60,0))=D749,"OK","Jenis tidak cocok"),"Kategori tidak dikenal"))</f>
        <v/>
      </c>
    </row>
    <row r="750" ht="15" customHeight="1" s="33">
      <c r="A750" s="57">
        <f>IF(B750="","",ROW()-4)</f>
        <v/>
      </c>
      <c r="B750" s="58" t="n"/>
      <c r="C750" s="38" t="n"/>
      <c r="D750" s="38" t="n"/>
      <c r="E750" s="38" t="n"/>
      <c r="F750" s="57">
        <f>IF(E750="","",IFERROR(INDEX(Referensi!$C$5:$C$60,MATCH(E750,Referensi!$A$5:$A$60,0)),"?"))</f>
        <v/>
      </c>
      <c r="G750" s="38" t="n"/>
      <c r="H750" s="59" t="n"/>
      <c r="I750" s="38" t="n"/>
      <c r="J750" s="39" t="n"/>
      <c r="K750" s="60">
        <f>IF(J750="","",SUMIFS(J$5:J750,D$5:D750,"Masuk")-SUMIFS(J$5:J750,D$5:D750,"Keluar"))</f>
        <v/>
      </c>
      <c r="L750" s="38" t="n"/>
      <c r="M750" s="38" t="n"/>
      <c r="N750" s="57">
        <f>IF(E750="","",IFERROR(IF(INDEX(Referensi!$B$5:$B$60,MATCH(E750,Referensi!$A$5:$A$60,0))=D750,"OK","Jenis tidak cocok"),"Kategori tidak dikenal"))</f>
        <v/>
      </c>
    </row>
    <row r="751" ht="15" customHeight="1" s="33">
      <c r="A751" s="57">
        <f>IF(B751="","",ROW()-4)</f>
        <v/>
      </c>
      <c r="B751" s="58" t="n"/>
      <c r="C751" s="38" t="n"/>
      <c r="D751" s="38" t="n"/>
      <c r="E751" s="38" t="n"/>
      <c r="F751" s="57">
        <f>IF(E751="","",IFERROR(INDEX(Referensi!$C$5:$C$60,MATCH(E751,Referensi!$A$5:$A$60,0)),"?"))</f>
        <v/>
      </c>
      <c r="G751" s="38" t="n"/>
      <c r="H751" s="59" t="n"/>
      <c r="I751" s="38" t="n"/>
      <c r="J751" s="39" t="n"/>
      <c r="K751" s="60">
        <f>IF(J751="","",SUMIFS(J$5:J751,D$5:D751,"Masuk")-SUMIFS(J$5:J751,D$5:D751,"Keluar"))</f>
        <v/>
      </c>
      <c r="L751" s="38" t="n"/>
      <c r="M751" s="38" t="n"/>
      <c r="N751" s="57">
        <f>IF(E751="","",IFERROR(IF(INDEX(Referensi!$B$5:$B$60,MATCH(E751,Referensi!$A$5:$A$60,0))=D751,"OK","Jenis tidak cocok"),"Kategori tidak dikenal"))</f>
        <v/>
      </c>
    </row>
    <row r="752" ht="15" customHeight="1" s="33">
      <c r="A752" s="57">
        <f>IF(B752="","",ROW()-4)</f>
        <v/>
      </c>
      <c r="B752" s="58" t="n"/>
      <c r="C752" s="38" t="n"/>
      <c r="D752" s="38" t="n"/>
      <c r="E752" s="38" t="n"/>
      <c r="F752" s="57">
        <f>IF(E752="","",IFERROR(INDEX(Referensi!$C$5:$C$60,MATCH(E752,Referensi!$A$5:$A$60,0)),"?"))</f>
        <v/>
      </c>
      <c r="G752" s="38" t="n"/>
      <c r="H752" s="59" t="n"/>
      <c r="I752" s="38" t="n"/>
      <c r="J752" s="39" t="n"/>
      <c r="K752" s="60">
        <f>IF(J752="","",SUMIFS(J$5:J752,D$5:D752,"Masuk")-SUMIFS(J$5:J752,D$5:D752,"Keluar"))</f>
        <v/>
      </c>
      <c r="L752" s="38" t="n"/>
      <c r="M752" s="38" t="n"/>
      <c r="N752" s="57">
        <f>IF(E752="","",IFERROR(IF(INDEX(Referensi!$B$5:$B$60,MATCH(E752,Referensi!$A$5:$A$60,0))=D752,"OK","Jenis tidak cocok"),"Kategori tidak dikenal"))</f>
        <v/>
      </c>
    </row>
    <row r="753" ht="15" customHeight="1" s="33">
      <c r="A753" s="57">
        <f>IF(B753="","",ROW()-4)</f>
        <v/>
      </c>
      <c r="B753" s="58" t="n"/>
      <c r="C753" s="38" t="n"/>
      <c r="D753" s="38" t="n"/>
      <c r="E753" s="38" t="n"/>
      <c r="F753" s="57">
        <f>IF(E753="","",IFERROR(INDEX(Referensi!$C$5:$C$60,MATCH(E753,Referensi!$A$5:$A$60,0)),"?"))</f>
        <v/>
      </c>
      <c r="G753" s="38" t="n"/>
      <c r="H753" s="59" t="n"/>
      <c r="I753" s="38" t="n"/>
      <c r="J753" s="39" t="n"/>
      <c r="K753" s="60">
        <f>IF(J753="","",SUMIFS(J$5:J753,D$5:D753,"Masuk")-SUMIFS(J$5:J753,D$5:D753,"Keluar"))</f>
        <v/>
      </c>
      <c r="L753" s="38" t="n"/>
      <c r="M753" s="38" t="n"/>
      <c r="N753" s="57">
        <f>IF(E753="","",IFERROR(IF(INDEX(Referensi!$B$5:$B$60,MATCH(E753,Referensi!$A$5:$A$60,0))=D753,"OK","Jenis tidak cocok"),"Kategori tidak dikenal"))</f>
        <v/>
      </c>
    </row>
    <row r="754" ht="15" customHeight="1" s="33">
      <c r="A754" s="57">
        <f>IF(B754="","",ROW()-4)</f>
        <v/>
      </c>
      <c r="B754" s="58" t="n"/>
      <c r="C754" s="38" t="n"/>
      <c r="D754" s="38" t="n"/>
      <c r="E754" s="38" t="n"/>
      <c r="F754" s="57">
        <f>IF(E754="","",IFERROR(INDEX(Referensi!$C$5:$C$60,MATCH(E754,Referensi!$A$5:$A$60,0)),"?"))</f>
        <v/>
      </c>
      <c r="G754" s="38" t="n"/>
      <c r="H754" s="59" t="n"/>
      <c r="I754" s="38" t="n"/>
      <c r="J754" s="39" t="n"/>
      <c r="K754" s="60">
        <f>IF(J754="","",SUMIFS(J$5:J754,D$5:D754,"Masuk")-SUMIFS(J$5:J754,D$5:D754,"Keluar"))</f>
        <v/>
      </c>
      <c r="L754" s="38" t="n"/>
      <c r="M754" s="38" t="n"/>
      <c r="N754" s="57">
        <f>IF(E754="","",IFERROR(IF(INDEX(Referensi!$B$5:$B$60,MATCH(E754,Referensi!$A$5:$A$60,0))=D754,"OK","Jenis tidak cocok"),"Kategori tidak dikenal"))</f>
        <v/>
      </c>
    </row>
    <row r="755" ht="15" customHeight="1" s="33">
      <c r="A755" s="57">
        <f>IF(B755="","",ROW()-4)</f>
        <v/>
      </c>
      <c r="B755" s="58" t="n"/>
      <c r="C755" s="38" t="n"/>
      <c r="D755" s="38" t="n"/>
      <c r="E755" s="38" t="n"/>
      <c r="F755" s="57">
        <f>IF(E755="","",IFERROR(INDEX(Referensi!$C$5:$C$60,MATCH(E755,Referensi!$A$5:$A$60,0)),"?"))</f>
        <v/>
      </c>
      <c r="G755" s="38" t="n"/>
      <c r="H755" s="59" t="n"/>
      <c r="I755" s="38" t="n"/>
      <c r="J755" s="39" t="n"/>
      <c r="K755" s="60">
        <f>IF(J755="","",SUMIFS(J$5:J755,D$5:D755,"Masuk")-SUMIFS(J$5:J755,D$5:D755,"Keluar"))</f>
        <v/>
      </c>
      <c r="L755" s="38" t="n"/>
      <c r="M755" s="38" t="n"/>
      <c r="N755" s="57">
        <f>IF(E755="","",IFERROR(IF(INDEX(Referensi!$B$5:$B$60,MATCH(E755,Referensi!$A$5:$A$60,0))=D755,"OK","Jenis tidak cocok"),"Kategori tidak dikenal"))</f>
        <v/>
      </c>
    </row>
    <row r="756" ht="15" customHeight="1" s="33">
      <c r="A756" s="57">
        <f>IF(B756="","",ROW()-4)</f>
        <v/>
      </c>
      <c r="B756" s="58" t="n"/>
      <c r="C756" s="38" t="n"/>
      <c r="D756" s="38" t="n"/>
      <c r="E756" s="38" t="n"/>
      <c r="F756" s="57">
        <f>IF(E756="","",IFERROR(INDEX(Referensi!$C$5:$C$60,MATCH(E756,Referensi!$A$5:$A$60,0)),"?"))</f>
        <v/>
      </c>
      <c r="G756" s="38" t="n"/>
      <c r="H756" s="59" t="n"/>
      <c r="I756" s="38" t="n"/>
      <c r="J756" s="39" t="n"/>
      <c r="K756" s="60">
        <f>IF(J756="","",SUMIFS(J$5:J756,D$5:D756,"Masuk")-SUMIFS(J$5:J756,D$5:D756,"Keluar"))</f>
        <v/>
      </c>
      <c r="L756" s="38" t="n"/>
      <c r="M756" s="38" t="n"/>
      <c r="N756" s="57">
        <f>IF(E756="","",IFERROR(IF(INDEX(Referensi!$B$5:$B$60,MATCH(E756,Referensi!$A$5:$A$60,0))=D756,"OK","Jenis tidak cocok"),"Kategori tidak dikenal"))</f>
        <v/>
      </c>
    </row>
    <row r="757" ht="15" customHeight="1" s="33">
      <c r="A757" s="57">
        <f>IF(B757="","",ROW()-4)</f>
        <v/>
      </c>
      <c r="B757" s="58" t="n"/>
      <c r="C757" s="38" t="n"/>
      <c r="D757" s="38" t="n"/>
      <c r="E757" s="38" t="n"/>
      <c r="F757" s="57">
        <f>IF(E757="","",IFERROR(INDEX(Referensi!$C$5:$C$60,MATCH(E757,Referensi!$A$5:$A$60,0)),"?"))</f>
        <v/>
      </c>
      <c r="G757" s="38" t="n"/>
      <c r="H757" s="59" t="n"/>
      <c r="I757" s="38" t="n"/>
      <c r="J757" s="39" t="n"/>
      <c r="K757" s="60">
        <f>IF(J757="","",SUMIFS(J$5:J757,D$5:D757,"Masuk")-SUMIFS(J$5:J757,D$5:D757,"Keluar"))</f>
        <v/>
      </c>
      <c r="L757" s="38" t="n"/>
      <c r="M757" s="38" t="n"/>
      <c r="N757" s="57">
        <f>IF(E757="","",IFERROR(IF(INDEX(Referensi!$B$5:$B$60,MATCH(E757,Referensi!$A$5:$A$60,0))=D757,"OK","Jenis tidak cocok"),"Kategori tidak dikenal"))</f>
        <v/>
      </c>
    </row>
    <row r="758" ht="15" customHeight="1" s="33">
      <c r="A758" s="57">
        <f>IF(B758="","",ROW()-4)</f>
        <v/>
      </c>
      <c r="B758" s="58" t="n"/>
      <c r="C758" s="38" t="n"/>
      <c r="D758" s="38" t="n"/>
      <c r="E758" s="38" t="n"/>
      <c r="F758" s="57">
        <f>IF(E758="","",IFERROR(INDEX(Referensi!$C$5:$C$60,MATCH(E758,Referensi!$A$5:$A$60,0)),"?"))</f>
        <v/>
      </c>
      <c r="G758" s="38" t="n"/>
      <c r="H758" s="59" t="n"/>
      <c r="I758" s="38" t="n"/>
      <c r="J758" s="39" t="n"/>
      <c r="K758" s="60">
        <f>IF(J758="","",SUMIFS(J$5:J758,D$5:D758,"Masuk")-SUMIFS(J$5:J758,D$5:D758,"Keluar"))</f>
        <v/>
      </c>
      <c r="L758" s="38" t="n"/>
      <c r="M758" s="38" t="n"/>
      <c r="N758" s="57">
        <f>IF(E758="","",IFERROR(IF(INDEX(Referensi!$B$5:$B$60,MATCH(E758,Referensi!$A$5:$A$60,0))=D758,"OK","Jenis tidak cocok"),"Kategori tidak dikenal"))</f>
        <v/>
      </c>
    </row>
    <row r="759" ht="15" customHeight="1" s="33">
      <c r="A759" s="57">
        <f>IF(B759="","",ROW()-4)</f>
        <v/>
      </c>
      <c r="B759" s="58" t="n"/>
      <c r="C759" s="38" t="n"/>
      <c r="D759" s="38" t="n"/>
      <c r="E759" s="38" t="n"/>
      <c r="F759" s="57">
        <f>IF(E759="","",IFERROR(INDEX(Referensi!$C$5:$C$60,MATCH(E759,Referensi!$A$5:$A$60,0)),"?"))</f>
        <v/>
      </c>
      <c r="G759" s="38" t="n"/>
      <c r="H759" s="59" t="n"/>
      <c r="I759" s="38" t="n"/>
      <c r="J759" s="39" t="n"/>
      <c r="K759" s="60">
        <f>IF(J759="","",SUMIFS(J$5:J759,D$5:D759,"Masuk")-SUMIFS(J$5:J759,D$5:D759,"Keluar"))</f>
        <v/>
      </c>
      <c r="L759" s="38" t="n"/>
      <c r="M759" s="38" t="n"/>
      <c r="N759" s="57">
        <f>IF(E759="","",IFERROR(IF(INDEX(Referensi!$B$5:$B$60,MATCH(E759,Referensi!$A$5:$A$60,0))=D759,"OK","Jenis tidak cocok"),"Kategori tidak dikenal"))</f>
        <v/>
      </c>
    </row>
    <row r="760" ht="15" customHeight="1" s="33">
      <c r="A760" s="57">
        <f>IF(B760="","",ROW()-4)</f>
        <v/>
      </c>
      <c r="B760" s="58" t="n"/>
      <c r="C760" s="38" t="n"/>
      <c r="D760" s="38" t="n"/>
      <c r="E760" s="38" t="n"/>
      <c r="F760" s="57">
        <f>IF(E760="","",IFERROR(INDEX(Referensi!$C$5:$C$60,MATCH(E760,Referensi!$A$5:$A$60,0)),"?"))</f>
        <v/>
      </c>
      <c r="G760" s="38" t="n"/>
      <c r="H760" s="59" t="n"/>
      <c r="I760" s="38" t="n"/>
      <c r="J760" s="39" t="n"/>
      <c r="K760" s="60">
        <f>IF(J760="","",SUMIFS(J$5:J760,D$5:D760,"Masuk")-SUMIFS(J$5:J760,D$5:D760,"Keluar"))</f>
        <v/>
      </c>
      <c r="L760" s="38" t="n"/>
      <c r="M760" s="38" t="n"/>
      <c r="N760" s="57">
        <f>IF(E760="","",IFERROR(IF(INDEX(Referensi!$B$5:$B$60,MATCH(E760,Referensi!$A$5:$A$60,0))=D760,"OK","Jenis tidak cocok"),"Kategori tidak dikenal"))</f>
        <v/>
      </c>
    </row>
    <row r="761" ht="15" customHeight="1" s="33">
      <c r="A761" s="57">
        <f>IF(B761="","",ROW()-4)</f>
        <v/>
      </c>
      <c r="B761" s="58" t="n"/>
      <c r="C761" s="38" t="n"/>
      <c r="D761" s="38" t="n"/>
      <c r="E761" s="38" t="n"/>
      <c r="F761" s="57">
        <f>IF(E761="","",IFERROR(INDEX(Referensi!$C$5:$C$60,MATCH(E761,Referensi!$A$5:$A$60,0)),"?"))</f>
        <v/>
      </c>
      <c r="G761" s="38" t="n"/>
      <c r="H761" s="59" t="n"/>
      <c r="I761" s="38" t="n"/>
      <c r="J761" s="39" t="n"/>
      <c r="K761" s="60">
        <f>IF(J761="","",SUMIFS(J$5:J761,D$5:D761,"Masuk")-SUMIFS(J$5:J761,D$5:D761,"Keluar"))</f>
        <v/>
      </c>
      <c r="L761" s="38" t="n"/>
      <c r="M761" s="38" t="n"/>
      <c r="N761" s="57">
        <f>IF(E761="","",IFERROR(IF(INDEX(Referensi!$B$5:$B$60,MATCH(E761,Referensi!$A$5:$A$60,0))=D761,"OK","Jenis tidak cocok"),"Kategori tidak dikenal"))</f>
        <v/>
      </c>
    </row>
    <row r="762" ht="15" customHeight="1" s="33">
      <c r="A762" s="57">
        <f>IF(B762="","",ROW()-4)</f>
        <v/>
      </c>
      <c r="B762" s="58" t="n"/>
      <c r="C762" s="38" t="n"/>
      <c r="D762" s="38" t="n"/>
      <c r="E762" s="38" t="n"/>
      <c r="F762" s="57">
        <f>IF(E762="","",IFERROR(INDEX(Referensi!$C$5:$C$60,MATCH(E762,Referensi!$A$5:$A$60,0)),"?"))</f>
        <v/>
      </c>
      <c r="G762" s="38" t="n"/>
      <c r="H762" s="59" t="n"/>
      <c r="I762" s="38" t="n"/>
      <c r="J762" s="39" t="n"/>
      <c r="K762" s="60">
        <f>IF(J762="","",SUMIFS(J$5:J762,D$5:D762,"Masuk")-SUMIFS(J$5:J762,D$5:D762,"Keluar"))</f>
        <v/>
      </c>
      <c r="L762" s="38" t="n"/>
      <c r="M762" s="38" t="n"/>
      <c r="N762" s="57">
        <f>IF(E762="","",IFERROR(IF(INDEX(Referensi!$B$5:$B$60,MATCH(E762,Referensi!$A$5:$A$60,0))=D762,"OK","Jenis tidak cocok"),"Kategori tidak dikenal"))</f>
        <v/>
      </c>
    </row>
    <row r="763" ht="15" customHeight="1" s="33">
      <c r="A763" s="57">
        <f>IF(B763="","",ROW()-4)</f>
        <v/>
      </c>
      <c r="B763" s="58" t="n"/>
      <c r="C763" s="38" t="n"/>
      <c r="D763" s="38" t="n"/>
      <c r="E763" s="38" t="n"/>
      <c r="F763" s="57">
        <f>IF(E763="","",IFERROR(INDEX(Referensi!$C$5:$C$60,MATCH(E763,Referensi!$A$5:$A$60,0)),"?"))</f>
        <v/>
      </c>
      <c r="G763" s="38" t="n"/>
      <c r="H763" s="59" t="n"/>
      <c r="I763" s="38" t="n"/>
      <c r="J763" s="39" t="n"/>
      <c r="K763" s="60">
        <f>IF(J763="","",SUMIFS(J$5:J763,D$5:D763,"Masuk")-SUMIFS(J$5:J763,D$5:D763,"Keluar"))</f>
        <v/>
      </c>
      <c r="L763" s="38" t="n"/>
      <c r="M763" s="38" t="n"/>
      <c r="N763" s="57">
        <f>IF(E763="","",IFERROR(IF(INDEX(Referensi!$B$5:$B$60,MATCH(E763,Referensi!$A$5:$A$60,0))=D763,"OK","Jenis tidak cocok"),"Kategori tidak dikenal"))</f>
        <v/>
      </c>
    </row>
    <row r="764" ht="15" customHeight="1" s="33">
      <c r="A764" s="57">
        <f>IF(B764="","",ROW()-4)</f>
        <v/>
      </c>
      <c r="B764" s="58" t="n"/>
      <c r="C764" s="38" t="n"/>
      <c r="D764" s="38" t="n"/>
      <c r="E764" s="38" t="n"/>
      <c r="F764" s="57">
        <f>IF(E764="","",IFERROR(INDEX(Referensi!$C$5:$C$60,MATCH(E764,Referensi!$A$5:$A$60,0)),"?"))</f>
        <v/>
      </c>
      <c r="G764" s="38" t="n"/>
      <c r="H764" s="59" t="n"/>
      <c r="I764" s="38" t="n"/>
      <c r="J764" s="39" t="n"/>
      <c r="K764" s="60">
        <f>IF(J764="","",SUMIFS(J$5:J764,D$5:D764,"Masuk")-SUMIFS(J$5:J764,D$5:D764,"Keluar"))</f>
        <v/>
      </c>
      <c r="L764" s="38" t="n"/>
      <c r="M764" s="38" t="n"/>
      <c r="N764" s="57">
        <f>IF(E764="","",IFERROR(IF(INDEX(Referensi!$B$5:$B$60,MATCH(E764,Referensi!$A$5:$A$60,0))=D764,"OK","Jenis tidak cocok"),"Kategori tidak dikenal"))</f>
        <v/>
      </c>
    </row>
    <row r="765" ht="15" customHeight="1" s="33">
      <c r="A765" s="57">
        <f>IF(B765="","",ROW()-4)</f>
        <v/>
      </c>
      <c r="B765" s="58" t="n"/>
      <c r="C765" s="38" t="n"/>
      <c r="D765" s="38" t="n"/>
      <c r="E765" s="38" t="n"/>
      <c r="F765" s="57">
        <f>IF(E765="","",IFERROR(INDEX(Referensi!$C$5:$C$60,MATCH(E765,Referensi!$A$5:$A$60,0)),"?"))</f>
        <v/>
      </c>
      <c r="G765" s="38" t="n"/>
      <c r="H765" s="59" t="n"/>
      <c r="I765" s="38" t="n"/>
      <c r="J765" s="39" t="n"/>
      <c r="K765" s="60">
        <f>IF(J765="","",SUMIFS(J$5:J765,D$5:D765,"Masuk")-SUMIFS(J$5:J765,D$5:D765,"Keluar"))</f>
        <v/>
      </c>
      <c r="L765" s="38" t="n"/>
      <c r="M765" s="38" t="n"/>
      <c r="N765" s="57">
        <f>IF(E765="","",IFERROR(IF(INDEX(Referensi!$B$5:$B$60,MATCH(E765,Referensi!$A$5:$A$60,0))=D765,"OK","Jenis tidak cocok"),"Kategori tidak dikenal"))</f>
        <v/>
      </c>
    </row>
    <row r="766" ht="15" customHeight="1" s="33">
      <c r="A766" s="57">
        <f>IF(B766="","",ROW()-4)</f>
        <v/>
      </c>
      <c r="B766" s="58" t="n"/>
      <c r="C766" s="38" t="n"/>
      <c r="D766" s="38" t="n"/>
      <c r="E766" s="38" t="n"/>
      <c r="F766" s="57">
        <f>IF(E766="","",IFERROR(INDEX(Referensi!$C$5:$C$60,MATCH(E766,Referensi!$A$5:$A$60,0)),"?"))</f>
        <v/>
      </c>
      <c r="G766" s="38" t="n"/>
      <c r="H766" s="59" t="n"/>
      <c r="I766" s="38" t="n"/>
      <c r="J766" s="39" t="n"/>
      <c r="K766" s="60">
        <f>IF(J766="","",SUMIFS(J$5:J766,D$5:D766,"Masuk")-SUMIFS(J$5:J766,D$5:D766,"Keluar"))</f>
        <v/>
      </c>
      <c r="L766" s="38" t="n"/>
      <c r="M766" s="38" t="n"/>
      <c r="N766" s="57">
        <f>IF(E766="","",IFERROR(IF(INDEX(Referensi!$B$5:$B$60,MATCH(E766,Referensi!$A$5:$A$60,0))=D766,"OK","Jenis tidak cocok"),"Kategori tidak dikenal"))</f>
        <v/>
      </c>
    </row>
    <row r="767" ht="15" customHeight="1" s="33">
      <c r="A767" s="57">
        <f>IF(B767="","",ROW()-4)</f>
        <v/>
      </c>
      <c r="B767" s="58" t="n"/>
      <c r="C767" s="38" t="n"/>
      <c r="D767" s="38" t="n"/>
      <c r="E767" s="38" t="n"/>
      <c r="F767" s="57">
        <f>IF(E767="","",IFERROR(INDEX(Referensi!$C$5:$C$60,MATCH(E767,Referensi!$A$5:$A$60,0)),"?"))</f>
        <v/>
      </c>
      <c r="G767" s="38" t="n"/>
      <c r="H767" s="59" t="n"/>
      <c r="I767" s="38" t="n"/>
      <c r="J767" s="39" t="n"/>
      <c r="K767" s="60">
        <f>IF(J767="","",SUMIFS(J$5:J767,D$5:D767,"Masuk")-SUMIFS(J$5:J767,D$5:D767,"Keluar"))</f>
        <v/>
      </c>
      <c r="L767" s="38" t="n"/>
      <c r="M767" s="38" t="n"/>
      <c r="N767" s="57">
        <f>IF(E767="","",IFERROR(IF(INDEX(Referensi!$B$5:$B$60,MATCH(E767,Referensi!$A$5:$A$60,0))=D767,"OK","Jenis tidak cocok"),"Kategori tidak dikenal"))</f>
        <v/>
      </c>
    </row>
    <row r="768" ht="15" customHeight="1" s="33">
      <c r="A768" s="57">
        <f>IF(B768="","",ROW()-4)</f>
        <v/>
      </c>
      <c r="B768" s="58" t="n"/>
      <c r="C768" s="38" t="n"/>
      <c r="D768" s="38" t="n"/>
      <c r="E768" s="38" t="n"/>
      <c r="F768" s="57">
        <f>IF(E768="","",IFERROR(INDEX(Referensi!$C$5:$C$60,MATCH(E768,Referensi!$A$5:$A$60,0)),"?"))</f>
        <v/>
      </c>
      <c r="G768" s="38" t="n"/>
      <c r="H768" s="59" t="n"/>
      <c r="I768" s="38" t="n"/>
      <c r="J768" s="39" t="n"/>
      <c r="K768" s="60">
        <f>IF(J768="","",SUMIFS(J$5:J768,D$5:D768,"Masuk")-SUMIFS(J$5:J768,D$5:D768,"Keluar"))</f>
        <v/>
      </c>
      <c r="L768" s="38" t="n"/>
      <c r="M768" s="38" t="n"/>
      <c r="N768" s="57">
        <f>IF(E768="","",IFERROR(IF(INDEX(Referensi!$B$5:$B$60,MATCH(E768,Referensi!$A$5:$A$60,0))=D768,"OK","Jenis tidak cocok"),"Kategori tidak dikenal"))</f>
        <v/>
      </c>
    </row>
    <row r="769" ht="15" customHeight="1" s="33">
      <c r="A769" s="57">
        <f>IF(B769="","",ROW()-4)</f>
        <v/>
      </c>
      <c r="B769" s="58" t="n"/>
      <c r="C769" s="38" t="n"/>
      <c r="D769" s="38" t="n"/>
      <c r="E769" s="38" t="n"/>
      <c r="F769" s="57">
        <f>IF(E769="","",IFERROR(INDEX(Referensi!$C$5:$C$60,MATCH(E769,Referensi!$A$5:$A$60,0)),"?"))</f>
        <v/>
      </c>
      <c r="G769" s="38" t="n"/>
      <c r="H769" s="59" t="n"/>
      <c r="I769" s="38" t="n"/>
      <c r="J769" s="39" t="n"/>
      <c r="K769" s="60">
        <f>IF(J769="","",SUMIFS(J$5:J769,D$5:D769,"Masuk")-SUMIFS(J$5:J769,D$5:D769,"Keluar"))</f>
        <v/>
      </c>
      <c r="L769" s="38" t="n"/>
      <c r="M769" s="38" t="n"/>
      <c r="N769" s="57">
        <f>IF(E769="","",IFERROR(IF(INDEX(Referensi!$B$5:$B$60,MATCH(E769,Referensi!$A$5:$A$60,0))=D769,"OK","Jenis tidak cocok"),"Kategori tidak dikenal"))</f>
        <v/>
      </c>
    </row>
    <row r="770" ht="15" customHeight="1" s="33">
      <c r="A770" s="57">
        <f>IF(B770="","",ROW()-4)</f>
        <v/>
      </c>
      <c r="B770" s="58" t="n"/>
      <c r="C770" s="38" t="n"/>
      <c r="D770" s="38" t="n"/>
      <c r="E770" s="38" t="n"/>
      <c r="F770" s="57">
        <f>IF(E770="","",IFERROR(INDEX(Referensi!$C$5:$C$60,MATCH(E770,Referensi!$A$5:$A$60,0)),"?"))</f>
        <v/>
      </c>
      <c r="G770" s="38" t="n"/>
      <c r="H770" s="59" t="n"/>
      <c r="I770" s="38" t="n"/>
      <c r="J770" s="39" t="n"/>
      <c r="K770" s="60">
        <f>IF(J770="","",SUMIFS(J$5:J770,D$5:D770,"Masuk")-SUMIFS(J$5:J770,D$5:D770,"Keluar"))</f>
        <v/>
      </c>
      <c r="L770" s="38" t="n"/>
      <c r="M770" s="38" t="n"/>
      <c r="N770" s="57">
        <f>IF(E770="","",IFERROR(IF(INDEX(Referensi!$B$5:$B$60,MATCH(E770,Referensi!$A$5:$A$60,0))=D770,"OK","Jenis tidak cocok"),"Kategori tidak dikenal"))</f>
        <v/>
      </c>
    </row>
    <row r="771" ht="15" customHeight="1" s="33">
      <c r="A771" s="57">
        <f>IF(B771="","",ROW()-4)</f>
        <v/>
      </c>
      <c r="B771" s="58" t="n"/>
      <c r="C771" s="38" t="n"/>
      <c r="D771" s="38" t="n"/>
      <c r="E771" s="38" t="n"/>
      <c r="F771" s="57">
        <f>IF(E771="","",IFERROR(INDEX(Referensi!$C$5:$C$60,MATCH(E771,Referensi!$A$5:$A$60,0)),"?"))</f>
        <v/>
      </c>
      <c r="G771" s="38" t="n"/>
      <c r="H771" s="59" t="n"/>
      <c r="I771" s="38" t="n"/>
      <c r="J771" s="39" t="n"/>
      <c r="K771" s="60">
        <f>IF(J771="","",SUMIFS(J$5:J771,D$5:D771,"Masuk")-SUMIFS(J$5:J771,D$5:D771,"Keluar"))</f>
        <v/>
      </c>
      <c r="L771" s="38" t="n"/>
      <c r="M771" s="38" t="n"/>
      <c r="N771" s="57">
        <f>IF(E771="","",IFERROR(IF(INDEX(Referensi!$B$5:$B$60,MATCH(E771,Referensi!$A$5:$A$60,0))=D771,"OK","Jenis tidak cocok"),"Kategori tidak dikenal"))</f>
        <v/>
      </c>
    </row>
    <row r="772" ht="15" customHeight="1" s="33">
      <c r="A772" s="57">
        <f>IF(B772="","",ROW()-4)</f>
        <v/>
      </c>
      <c r="B772" s="58" t="n"/>
      <c r="C772" s="38" t="n"/>
      <c r="D772" s="38" t="n"/>
      <c r="E772" s="38" t="n"/>
      <c r="F772" s="57">
        <f>IF(E772="","",IFERROR(INDEX(Referensi!$C$5:$C$60,MATCH(E772,Referensi!$A$5:$A$60,0)),"?"))</f>
        <v/>
      </c>
      <c r="G772" s="38" t="n"/>
      <c r="H772" s="59" t="n"/>
      <c r="I772" s="38" t="n"/>
      <c r="J772" s="39" t="n"/>
      <c r="K772" s="60">
        <f>IF(J772="","",SUMIFS(J$5:J772,D$5:D772,"Masuk")-SUMIFS(J$5:J772,D$5:D772,"Keluar"))</f>
        <v/>
      </c>
      <c r="L772" s="38" t="n"/>
      <c r="M772" s="38" t="n"/>
      <c r="N772" s="57">
        <f>IF(E772="","",IFERROR(IF(INDEX(Referensi!$B$5:$B$60,MATCH(E772,Referensi!$A$5:$A$60,0))=D772,"OK","Jenis tidak cocok"),"Kategori tidak dikenal"))</f>
        <v/>
      </c>
    </row>
    <row r="773" ht="15" customHeight="1" s="33">
      <c r="A773" s="57">
        <f>IF(B773="","",ROW()-4)</f>
        <v/>
      </c>
      <c r="B773" s="58" t="n"/>
      <c r="C773" s="38" t="n"/>
      <c r="D773" s="38" t="n"/>
      <c r="E773" s="38" t="n"/>
      <c r="F773" s="57">
        <f>IF(E773="","",IFERROR(INDEX(Referensi!$C$5:$C$60,MATCH(E773,Referensi!$A$5:$A$60,0)),"?"))</f>
        <v/>
      </c>
      <c r="G773" s="38" t="n"/>
      <c r="H773" s="59" t="n"/>
      <c r="I773" s="38" t="n"/>
      <c r="J773" s="39" t="n"/>
      <c r="K773" s="60">
        <f>IF(J773="","",SUMIFS(J$5:J773,D$5:D773,"Masuk")-SUMIFS(J$5:J773,D$5:D773,"Keluar"))</f>
        <v/>
      </c>
      <c r="L773" s="38" t="n"/>
      <c r="M773" s="38" t="n"/>
      <c r="N773" s="57">
        <f>IF(E773="","",IFERROR(IF(INDEX(Referensi!$B$5:$B$60,MATCH(E773,Referensi!$A$5:$A$60,0))=D773,"OK","Jenis tidak cocok"),"Kategori tidak dikenal"))</f>
        <v/>
      </c>
    </row>
    <row r="774" ht="15" customHeight="1" s="33">
      <c r="A774" s="57">
        <f>IF(B774="","",ROW()-4)</f>
        <v/>
      </c>
      <c r="B774" s="58" t="n"/>
      <c r="C774" s="38" t="n"/>
      <c r="D774" s="38" t="n"/>
      <c r="E774" s="38" t="n"/>
      <c r="F774" s="57">
        <f>IF(E774="","",IFERROR(INDEX(Referensi!$C$5:$C$60,MATCH(E774,Referensi!$A$5:$A$60,0)),"?"))</f>
        <v/>
      </c>
      <c r="G774" s="38" t="n"/>
      <c r="H774" s="59" t="n"/>
      <c r="I774" s="38" t="n"/>
      <c r="J774" s="39" t="n"/>
      <c r="K774" s="60">
        <f>IF(J774="","",SUMIFS(J$5:J774,D$5:D774,"Masuk")-SUMIFS(J$5:J774,D$5:D774,"Keluar"))</f>
        <v/>
      </c>
      <c r="L774" s="38" t="n"/>
      <c r="M774" s="38" t="n"/>
      <c r="N774" s="57">
        <f>IF(E774="","",IFERROR(IF(INDEX(Referensi!$B$5:$B$60,MATCH(E774,Referensi!$A$5:$A$60,0))=D774,"OK","Jenis tidak cocok"),"Kategori tidak dikenal"))</f>
        <v/>
      </c>
    </row>
    <row r="775" ht="15" customHeight="1" s="33">
      <c r="A775" s="57">
        <f>IF(B775="","",ROW()-4)</f>
        <v/>
      </c>
      <c r="B775" s="58" t="n"/>
      <c r="C775" s="38" t="n"/>
      <c r="D775" s="38" t="n"/>
      <c r="E775" s="38" t="n"/>
      <c r="F775" s="57">
        <f>IF(E775="","",IFERROR(INDEX(Referensi!$C$5:$C$60,MATCH(E775,Referensi!$A$5:$A$60,0)),"?"))</f>
        <v/>
      </c>
      <c r="G775" s="38" t="n"/>
      <c r="H775" s="59" t="n"/>
      <c r="I775" s="38" t="n"/>
      <c r="J775" s="39" t="n"/>
      <c r="K775" s="60">
        <f>IF(J775="","",SUMIFS(J$5:J775,D$5:D775,"Masuk")-SUMIFS(J$5:J775,D$5:D775,"Keluar"))</f>
        <v/>
      </c>
      <c r="L775" s="38" t="n"/>
      <c r="M775" s="38" t="n"/>
      <c r="N775" s="57">
        <f>IF(E775="","",IFERROR(IF(INDEX(Referensi!$B$5:$B$60,MATCH(E775,Referensi!$A$5:$A$60,0))=D775,"OK","Jenis tidak cocok"),"Kategori tidak dikenal"))</f>
        <v/>
      </c>
    </row>
    <row r="776" ht="15" customHeight="1" s="33">
      <c r="A776" s="57">
        <f>IF(B776="","",ROW()-4)</f>
        <v/>
      </c>
      <c r="B776" s="58" t="n"/>
      <c r="C776" s="38" t="n"/>
      <c r="D776" s="38" t="n"/>
      <c r="E776" s="38" t="n"/>
      <c r="F776" s="57">
        <f>IF(E776="","",IFERROR(INDEX(Referensi!$C$5:$C$60,MATCH(E776,Referensi!$A$5:$A$60,0)),"?"))</f>
        <v/>
      </c>
      <c r="G776" s="38" t="n"/>
      <c r="H776" s="59" t="n"/>
      <c r="I776" s="38" t="n"/>
      <c r="J776" s="39" t="n"/>
      <c r="K776" s="60">
        <f>IF(J776="","",SUMIFS(J$5:J776,D$5:D776,"Masuk")-SUMIFS(J$5:J776,D$5:D776,"Keluar"))</f>
        <v/>
      </c>
      <c r="L776" s="38" t="n"/>
      <c r="M776" s="38" t="n"/>
      <c r="N776" s="57">
        <f>IF(E776="","",IFERROR(IF(INDEX(Referensi!$B$5:$B$60,MATCH(E776,Referensi!$A$5:$A$60,0))=D776,"OK","Jenis tidak cocok"),"Kategori tidak dikenal"))</f>
        <v/>
      </c>
    </row>
    <row r="777" ht="15" customHeight="1" s="33">
      <c r="A777" s="57">
        <f>IF(B777="","",ROW()-4)</f>
        <v/>
      </c>
      <c r="B777" s="58" t="n"/>
      <c r="C777" s="38" t="n"/>
      <c r="D777" s="38" t="n"/>
      <c r="E777" s="38" t="n"/>
      <c r="F777" s="57">
        <f>IF(E777="","",IFERROR(INDEX(Referensi!$C$5:$C$60,MATCH(E777,Referensi!$A$5:$A$60,0)),"?"))</f>
        <v/>
      </c>
      <c r="G777" s="38" t="n"/>
      <c r="H777" s="59" t="n"/>
      <c r="I777" s="38" t="n"/>
      <c r="J777" s="39" t="n"/>
      <c r="K777" s="60">
        <f>IF(J777="","",SUMIFS(J$5:J777,D$5:D777,"Masuk")-SUMIFS(J$5:J777,D$5:D777,"Keluar"))</f>
        <v/>
      </c>
      <c r="L777" s="38" t="n"/>
      <c r="M777" s="38" t="n"/>
      <c r="N777" s="57">
        <f>IF(E777="","",IFERROR(IF(INDEX(Referensi!$B$5:$B$60,MATCH(E777,Referensi!$A$5:$A$60,0))=D777,"OK","Jenis tidak cocok"),"Kategori tidak dikenal"))</f>
        <v/>
      </c>
    </row>
    <row r="778" ht="15" customHeight="1" s="33">
      <c r="A778" s="57">
        <f>IF(B778="","",ROW()-4)</f>
        <v/>
      </c>
      <c r="B778" s="58" t="n"/>
      <c r="C778" s="38" t="n"/>
      <c r="D778" s="38" t="n"/>
      <c r="E778" s="38" t="n"/>
      <c r="F778" s="57">
        <f>IF(E778="","",IFERROR(INDEX(Referensi!$C$5:$C$60,MATCH(E778,Referensi!$A$5:$A$60,0)),"?"))</f>
        <v/>
      </c>
      <c r="G778" s="38" t="n"/>
      <c r="H778" s="59" t="n"/>
      <c r="I778" s="38" t="n"/>
      <c r="J778" s="39" t="n"/>
      <c r="K778" s="60">
        <f>IF(J778="","",SUMIFS(J$5:J778,D$5:D778,"Masuk")-SUMIFS(J$5:J778,D$5:D778,"Keluar"))</f>
        <v/>
      </c>
      <c r="L778" s="38" t="n"/>
      <c r="M778" s="38" t="n"/>
      <c r="N778" s="57">
        <f>IF(E778="","",IFERROR(IF(INDEX(Referensi!$B$5:$B$60,MATCH(E778,Referensi!$A$5:$A$60,0))=D778,"OK","Jenis tidak cocok"),"Kategori tidak dikenal"))</f>
        <v/>
      </c>
    </row>
    <row r="779" ht="15" customHeight="1" s="33">
      <c r="A779" s="57">
        <f>IF(B779="","",ROW()-4)</f>
        <v/>
      </c>
      <c r="B779" s="58" t="n"/>
      <c r="C779" s="38" t="n"/>
      <c r="D779" s="38" t="n"/>
      <c r="E779" s="38" t="n"/>
      <c r="F779" s="57">
        <f>IF(E779="","",IFERROR(INDEX(Referensi!$C$5:$C$60,MATCH(E779,Referensi!$A$5:$A$60,0)),"?"))</f>
        <v/>
      </c>
      <c r="G779" s="38" t="n"/>
      <c r="H779" s="59" t="n"/>
      <c r="I779" s="38" t="n"/>
      <c r="J779" s="39" t="n"/>
      <c r="K779" s="60">
        <f>IF(J779="","",SUMIFS(J$5:J779,D$5:D779,"Masuk")-SUMIFS(J$5:J779,D$5:D779,"Keluar"))</f>
        <v/>
      </c>
      <c r="L779" s="38" t="n"/>
      <c r="M779" s="38" t="n"/>
      <c r="N779" s="57">
        <f>IF(E779="","",IFERROR(IF(INDEX(Referensi!$B$5:$B$60,MATCH(E779,Referensi!$A$5:$A$60,0))=D779,"OK","Jenis tidak cocok"),"Kategori tidak dikenal"))</f>
        <v/>
      </c>
    </row>
    <row r="780" ht="15" customHeight="1" s="33">
      <c r="A780" s="57">
        <f>IF(B780="","",ROW()-4)</f>
        <v/>
      </c>
      <c r="B780" s="58" t="n"/>
      <c r="C780" s="38" t="n"/>
      <c r="D780" s="38" t="n"/>
      <c r="E780" s="38" t="n"/>
      <c r="F780" s="57">
        <f>IF(E780="","",IFERROR(INDEX(Referensi!$C$5:$C$60,MATCH(E780,Referensi!$A$5:$A$60,0)),"?"))</f>
        <v/>
      </c>
      <c r="G780" s="38" t="n"/>
      <c r="H780" s="59" t="n"/>
      <c r="I780" s="38" t="n"/>
      <c r="J780" s="39" t="n"/>
      <c r="K780" s="60">
        <f>IF(J780="","",SUMIFS(J$5:J780,D$5:D780,"Masuk")-SUMIFS(J$5:J780,D$5:D780,"Keluar"))</f>
        <v/>
      </c>
      <c r="L780" s="38" t="n"/>
      <c r="M780" s="38" t="n"/>
      <c r="N780" s="57">
        <f>IF(E780="","",IFERROR(IF(INDEX(Referensi!$B$5:$B$60,MATCH(E780,Referensi!$A$5:$A$60,0))=D780,"OK","Jenis tidak cocok"),"Kategori tidak dikenal"))</f>
        <v/>
      </c>
    </row>
    <row r="781" ht="15" customHeight="1" s="33">
      <c r="A781" s="57">
        <f>IF(B781="","",ROW()-4)</f>
        <v/>
      </c>
      <c r="B781" s="58" t="n"/>
      <c r="C781" s="38" t="n"/>
      <c r="D781" s="38" t="n"/>
      <c r="E781" s="38" t="n"/>
      <c r="F781" s="57">
        <f>IF(E781="","",IFERROR(INDEX(Referensi!$C$5:$C$60,MATCH(E781,Referensi!$A$5:$A$60,0)),"?"))</f>
        <v/>
      </c>
      <c r="G781" s="38" t="n"/>
      <c r="H781" s="59" t="n"/>
      <c r="I781" s="38" t="n"/>
      <c r="J781" s="39" t="n"/>
      <c r="K781" s="60">
        <f>IF(J781="","",SUMIFS(J$5:J781,D$5:D781,"Masuk")-SUMIFS(J$5:J781,D$5:D781,"Keluar"))</f>
        <v/>
      </c>
      <c r="L781" s="38" t="n"/>
      <c r="M781" s="38" t="n"/>
      <c r="N781" s="57">
        <f>IF(E781="","",IFERROR(IF(INDEX(Referensi!$B$5:$B$60,MATCH(E781,Referensi!$A$5:$A$60,0))=D781,"OK","Jenis tidak cocok"),"Kategori tidak dikenal"))</f>
        <v/>
      </c>
    </row>
    <row r="782" ht="15" customHeight="1" s="33">
      <c r="A782" s="57">
        <f>IF(B782="","",ROW()-4)</f>
        <v/>
      </c>
      <c r="B782" s="58" t="n"/>
      <c r="C782" s="38" t="n"/>
      <c r="D782" s="38" t="n"/>
      <c r="E782" s="38" t="n"/>
      <c r="F782" s="57">
        <f>IF(E782="","",IFERROR(INDEX(Referensi!$C$5:$C$60,MATCH(E782,Referensi!$A$5:$A$60,0)),"?"))</f>
        <v/>
      </c>
      <c r="G782" s="38" t="n"/>
      <c r="H782" s="59" t="n"/>
      <c r="I782" s="38" t="n"/>
      <c r="J782" s="39" t="n"/>
      <c r="K782" s="60">
        <f>IF(J782="","",SUMIFS(J$5:J782,D$5:D782,"Masuk")-SUMIFS(J$5:J782,D$5:D782,"Keluar"))</f>
        <v/>
      </c>
      <c r="L782" s="38" t="n"/>
      <c r="M782" s="38" t="n"/>
      <c r="N782" s="57">
        <f>IF(E782="","",IFERROR(IF(INDEX(Referensi!$B$5:$B$60,MATCH(E782,Referensi!$A$5:$A$60,0))=D782,"OK","Jenis tidak cocok"),"Kategori tidak dikenal"))</f>
        <v/>
      </c>
    </row>
    <row r="783" ht="15" customHeight="1" s="33">
      <c r="A783" s="57">
        <f>IF(B783="","",ROW()-4)</f>
        <v/>
      </c>
      <c r="B783" s="58" t="n"/>
      <c r="C783" s="38" t="n"/>
      <c r="D783" s="38" t="n"/>
      <c r="E783" s="38" t="n"/>
      <c r="F783" s="57">
        <f>IF(E783="","",IFERROR(INDEX(Referensi!$C$5:$C$60,MATCH(E783,Referensi!$A$5:$A$60,0)),"?"))</f>
        <v/>
      </c>
      <c r="G783" s="38" t="n"/>
      <c r="H783" s="59" t="n"/>
      <c r="I783" s="38" t="n"/>
      <c r="J783" s="39" t="n"/>
      <c r="K783" s="60">
        <f>IF(J783="","",SUMIFS(J$5:J783,D$5:D783,"Masuk")-SUMIFS(J$5:J783,D$5:D783,"Keluar"))</f>
        <v/>
      </c>
      <c r="L783" s="38" t="n"/>
      <c r="M783" s="38" t="n"/>
      <c r="N783" s="57">
        <f>IF(E783="","",IFERROR(IF(INDEX(Referensi!$B$5:$B$60,MATCH(E783,Referensi!$A$5:$A$60,0))=D783,"OK","Jenis tidak cocok"),"Kategori tidak dikenal"))</f>
        <v/>
      </c>
    </row>
    <row r="784" ht="15" customHeight="1" s="33">
      <c r="A784" s="57">
        <f>IF(B784="","",ROW()-4)</f>
        <v/>
      </c>
      <c r="B784" s="58" t="n"/>
      <c r="C784" s="38" t="n"/>
      <c r="D784" s="38" t="n"/>
      <c r="E784" s="38" t="n"/>
      <c r="F784" s="57">
        <f>IF(E784="","",IFERROR(INDEX(Referensi!$C$5:$C$60,MATCH(E784,Referensi!$A$5:$A$60,0)),"?"))</f>
        <v/>
      </c>
      <c r="G784" s="38" t="n"/>
      <c r="H784" s="59" t="n"/>
      <c r="I784" s="38" t="n"/>
      <c r="J784" s="39" t="n"/>
      <c r="K784" s="60">
        <f>IF(J784="","",SUMIFS(J$5:J784,D$5:D784,"Masuk")-SUMIFS(J$5:J784,D$5:D784,"Keluar"))</f>
        <v/>
      </c>
      <c r="L784" s="38" t="n"/>
      <c r="M784" s="38" t="n"/>
      <c r="N784" s="57">
        <f>IF(E784="","",IFERROR(IF(INDEX(Referensi!$B$5:$B$60,MATCH(E784,Referensi!$A$5:$A$60,0))=D784,"OK","Jenis tidak cocok"),"Kategori tidak dikenal"))</f>
        <v/>
      </c>
    </row>
    <row r="785" ht="15" customHeight="1" s="33">
      <c r="A785" s="57">
        <f>IF(B785="","",ROW()-4)</f>
        <v/>
      </c>
      <c r="B785" s="58" t="n"/>
      <c r="C785" s="38" t="n"/>
      <c r="D785" s="38" t="n"/>
      <c r="E785" s="38" t="n"/>
      <c r="F785" s="57">
        <f>IF(E785="","",IFERROR(INDEX(Referensi!$C$5:$C$60,MATCH(E785,Referensi!$A$5:$A$60,0)),"?"))</f>
        <v/>
      </c>
      <c r="G785" s="38" t="n"/>
      <c r="H785" s="59" t="n"/>
      <c r="I785" s="38" t="n"/>
      <c r="J785" s="39" t="n"/>
      <c r="K785" s="60">
        <f>IF(J785="","",SUMIFS(J$5:J785,D$5:D785,"Masuk")-SUMIFS(J$5:J785,D$5:D785,"Keluar"))</f>
        <v/>
      </c>
      <c r="L785" s="38" t="n"/>
      <c r="M785" s="38" t="n"/>
      <c r="N785" s="57">
        <f>IF(E785="","",IFERROR(IF(INDEX(Referensi!$B$5:$B$60,MATCH(E785,Referensi!$A$5:$A$60,0))=D785,"OK","Jenis tidak cocok"),"Kategori tidak dikenal"))</f>
        <v/>
      </c>
    </row>
    <row r="786" ht="15" customHeight="1" s="33">
      <c r="A786" s="57">
        <f>IF(B786="","",ROW()-4)</f>
        <v/>
      </c>
      <c r="B786" s="58" t="n"/>
      <c r="C786" s="38" t="n"/>
      <c r="D786" s="38" t="n"/>
      <c r="E786" s="38" t="n"/>
      <c r="F786" s="57">
        <f>IF(E786="","",IFERROR(INDEX(Referensi!$C$5:$C$60,MATCH(E786,Referensi!$A$5:$A$60,0)),"?"))</f>
        <v/>
      </c>
      <c r="G786" s="38" t="n"/>
      <c r="H786" s="59" t="n"/>
      <c r="I786" s="38" t="n"/>
      <c r="J786" s="39" t="n"/>
      <c r="K786" s="60">
        <f>IF(J786="","",SUMIFS(J$5:J786,D$5:D786,"Masuk")-SUMIFS(J$5:J786,D$5:D786,"Keluar"))</f>
        <v/>
      </c>
      <c r="L786" s="38" t="n"/>
      <c r="M786" s="38" t="n"/>
      <c r="N786" s="57">
        <f>IF(E786="","",IFERROR(IF(INDEX(Referensi!$B$5:$B$60,MATCH(E786,Referensi!$A$5:$A$60,0))=D786,"OK","Jenis tidak cocok"),"Kategori tidak dikenal"))</f>
        <v/>
      </c>
    </row>
    <row r="787" ht="15" customHeight="1" s="33">
      <c r="A787" s="57">
        <f>IF(B787="","",ROW()-4)</f>
        <v/>
      </c>
      <c r="B787" s="58" t="n"/>
      <c r="C787" s="38" t="n"/>
      <c r="D787" s="38" t="n"/>
      <c r="E787" s="38" t="n"/>
      <c r="F787" s="57">
        <f>IF(E787="","",IFERROR(INDEX(Referensi!$C$5:$C$60,MATCH(E787,Referensi!$A$5:$A$60,0)),"?"))</f>
        <v/>
      </c>
      <c r="G787" s="38" t="n"/>
      <c r="H787" s="59" t="n"/>
      <c r="I787" s="38" t="n"/>
      <c r="J787" s="39" t="n"/>
      <c r="K787" s="60">
        <f>IF(J787="","",SUMIFS(J$5:J787,D$5:D787,"Masuk")-SUMIFS(J$5:J787,D$5:D787,"Keluar"))</f>
        <v/>
      </c>
      <c r="L787" s="38" t="n"/>
      <c r="M787" s="38" t="n"/>
      <c r="N787" s="57">
        <f>IF(E787="","",IFERROR(IF(INDEX(Referensi!$B$5:$B$60,MATCH(E787,Referensi!$A$5:$A$60,0))=D787,"OK","Jenis tidak cocok"),"Kategori tidak dikenal"))</f>
        <v/>
      </c>
    </row>
    <row r="788" ht="15" customHeight="1" s="33">
      <c r="A788" s="57">
        <f>IF(B788="","",ROW()-4)</f>
        <v/>
      </c>
      <c r="B788" s="58" t="n"/>
      <c r="C788" s="38" t="n"/>
      <c r="D788" s="38" t="n"/>
      <c r="E788" s="38" t="n"/>
      <c r="F788" s="57">
        <f>IF(E788="","",IFERROR(INDEX(Referensi!$C$5:$C$60,MATCH(E788,Referensi!$A$5:$A$60,0)),"?"))</f>
        <v/>
      </c>
      <c r="G788" s="38" t="n"/>
      <c r="H788" s="59" t="n"/>
      <c r="I788" s="38" t="n"/>
      <c r="J788" s="39" t="n"/>
      <c r="K788" s="60">
        <f>IF(J788="","",SUMIFS(J$5:J788,D$5:D788,"Masuk")-SUMIFS(J$5:J788,D$5:D788,"Keluar"))</f>
        <v/>
      </c>
      <c r="L788" s="38" t="n"/>
      <c r="M788" s="38" t="n"/>
      <c r="N788" s="57">
        <f>IF(E788="","",IFERROR(IF(INDEX(Referensi!$B$5:$B$60,MATCH(E788,Referensi!$A$5:$A$60,0))=D788,"OK","Jenis tidak cocok"),"Kategori tidak dikenal"))</f>
        <v/>
      </c>
    </row>
    <row r="789" ht="15" customHeight="1" s="33">
      <c r="A789" s="57">
        <f>IF(B789="","",ROW()-4)</f>
        <v/>
      </c>
      <c r="B789" s="58" t="n"/>
      <c r="C789" s="38" t="n"/>
      <c r="D789" s="38" t="n"/>
      <c r="E789" s="38" t="n"/>
      <c r="F789" s="57">
        <f>IF(E789="","",IFERROR(INDEX(Referensi!$C$5:$C$60,MATCH(E789,Referensi!$A$5:$A$60,0)),"?"))</f>
        <v/>
      </c>
      <c r="G789" s="38" t="n"/>
      <c r="H789" s="59" t="n"/>
      <c r="I789" s="38" t="n"/>
      <c r="J789" s="39" t="n"/>
      <c r="K789" s="60">
        <f>IF(J789="","",SUMIFS(J$5:J789,D$5:D789,"Masuk")-SUMIFS(J$5:J789,D$5:D789,"Keluar"))</f>
        <v/>
      </c>
      <c r="L789" s="38" t="n"/>
      <c r="M789" s="38" t="n"/>
      <c r="N789" s="57">
        <f>IF(E789="","",IFERROR(IF(INDEX(Referensi!$B$5:$B$60,MATCH(E789,Referensi!$A$5:$A$60,0))=D789,"OK","Jenis tidak cocok"),"Kategori tidak dikenal"))</f>
        <v/>
      </c>
    </row>
    <row r="790" ht="15" customHeight="1" s="33">
      <c r="A790" s="57">
        <f>IF(B790="","",ROW()-4)</f>
        <v/>
      </c>
      <c r="B790" s="58" t="n"/>
      <c r="C790" s="38" t="n"/>
      <c r="D790" s="38" t="n"/>
      <c r="E790" s="38" t="n"/>
      <c r="F790" s="57">
        <f>IF(E790="","",IFERROR(INDEX(Referensi!$C$5:$C$60,MATCH(E790,Referensi!$A$5:$A$60,0)),"?"))</f>
        <v/>
      </c>
      <c r="G790" s="38" t="n"/>
      <c r="H790" s="59" t="n"/>
      <c r="I790" s="38" t="n"/>
      <c r="J790" s="39" t="n"/>
      <c r="K790" s="60">
        <f>IF(J790="","",SUMIFS(J$5:J790,D$5:D790,"Masuk")-SUMIFS(J$5:J790,D$5:D790,"Keluar"))</f>
        <v/>
      </c>
      <c r="L790" s="38" t="n"/>
      <c r="M790" s="38" t="n"/>
      <c r="N790" s="57">
        <f>IF(E790="","",IFERROR(IF(INDEX(Referensi!$B$5:$B$60,MATCH(E790,Referensi!$A$5:$A$60,0))=D790,"OK","Jenis tidak cocok"),"Kategori tidak dikenal"))</f>
        <v/>
      </c>
    </row>
    <row r="791" ht="15" customHeight="1" s="33">
      <c r="A791" s="57">
        <f>IF(B791="","",ROW()-4)</f>
        <v/>
      </c>
      <c r="B791" s="58" t="n"/>
      <c r="C791" s="38" t="n"/>
      <c r="D791" s="38" t="n"/>
      <c r="E791" s="38" t="n"/>
      <c r="F791" s="57">
        <f>IF(E791="","",IFERROR(INDEX(Referensi!$C$5:$C$60,MATCH(E791,Referensi!$A$5:$A$60,0)),"?"))</f>
        <v/>
      </c>
      <c r="G791" s="38" t="n"/>
      <c r="H791" s="59" t="n"/>
      <c r="I791" s="38" t="n"/>
      <c r="J791" s="39" t="n"/>
      <c r="K791" s="60">
        <f>IF(J791="","",SUMIFS(J$5:J791,D$5:D791,"Masuk")-SUMIFS(J$5:J791,D$5:D791,"Keluar"))</f>
        <v/>
      </c>
      <c r="L791" s="38" t="n"/>
      <c r="M791" s="38" t="n"/>
      <c r="N791" s="57">
        <f>IF(E791="","",IFERROR(IF(INDEX(Referensi!$B$5:$B$60,MATCH(E791,Referensi!$A$5:$A$60,0))=D791,"OK","Jenis tidak cocok"),"Kategori tidak dikenal"))</f>
        <v/>
      </c>
    </row>
    <row r="792" ht="15" customHeight="1" s="33">
      <c r="A792" s="57">
        <f>IF(B792="","",ROW()-4)</f>
        <v/>
      </c>
      <c r="B792" s="58" t="n"/>
      <c r="C792" s="38" t="n"/>
      <c r="D792" s="38" t="n"/>
      <c r="E792" s="38" t="n"/>
      <c r="F792" s="57">
        <f>IF(E792="","",IFERROR(INDEX(Referensi!$C$5:$C$60,MATCH(E792,Referensi!$A$5:$A$60,0)),"?"))</f>
        <v/>
      </c>
      <c r="G792" s="38" t="n"/>
      <c r="H792" s="59" t="n"/>
      <c r="I792" s="38" t="n"/>
      <c r="J792" s="39" t="n"/>
      <c r="K792" s="60">
        <f>IF(J792="","",SUMIFS(J$5:J792,D$5:D792,"Masuk")-SUMIFS(J$5:J792,D$5:D792,"Keluar"))</f>
        <v/>
      </c>
      <c r="L792" s="38" t="n"/>
      <c r="M792" s="38" t="n"/>
      <c r="N792" s="57">
        <f>IF(E792="","",IFERROR(IF(INDEX(Referensi!$B$5:$B$60,MATCH(E792,Referensi!$A$5:$A$60,0))=D792,"OK","Jenis tidak cocok"),"Kategori tidak dikenal"))</f>
        <v/>
      </c>
    </row>
    <row r="793" ht="15" customHeight="1" s="33">
      <c r="A793" s="57">
        <f>IF(B793="","",ROW()-4)</f>
        <v/>
      </c>
      <c r="B793" s="58" t="n"/>
      <c r="C793" s="38" t="n"/>
      <c r="D793" s="38" t="n"/>
      <c r="E793" s="38" t="n"/>
      <c r="F793" s="57">
        <f>IF(E793="","",IFERROR(INDEX(Referensi!$C$5:$C$60,MATCH(E793,Referensi!$A$5:$A$60,0)),"?"))</f>
        <v/>
      </c>
      <c r="G793" s="38" t="n"/>
      <c r="H793" s="59" t="n"/>
      <c r="I793" s="38" t="n"/>
      <c r="J793" s="39" t="n"/>
      <c r="K793" s="60">
        <f>IF(J793="","",SUMIFS(J$5:J793,D$5:D793,"Masuk")-SUMIFS(J$5:J793,D$5:D793,"Keluar"))</f>
        <v/>
      </c>
      <c r="L793" s="38" t="n"/>
      <c r="M793" s="38" t="n"/>
      <c r="N793" s="57">
        <f>IF(E793="","",IFERROR(IF(INDEX(Referensi!$B$5:$B$60,MATCH(E793,Referensi!$A$5:$A$60,0))=D793,"OK","Jenis tidak cocok"),"Kategori tidak dikenal"))</f>
        <v/>
      </c>
    </row>
    <row r="794" ht="15" customHeight="1" s="33">
      <c r="A794" s="57">
        <f>IF(B794="","",ROW()-4)</f>
        <v/>
      </c>
      <c r="B794" s="58" t="n"/>
      <c r="C794" s="38" t="n"/>
      <c r="D794" s="38" t="n"/>
      <c r="E794" s="38" t="n"/>
      <c r="F794" s="57">
        <f>IF(E794="","",IFERROR(INDEX(Referensi!$C$5:$C$60,MATCH(E794,Referensi!$A$5:$A$60,0)),"?"))</f>
        <v/>
      </c>
      <c r="G794" s="38" t="n"/>
      <c r="H794" s="59" t="n"/>
      <c r="I794" s="38" t="n"/>
      <c r="J794" s="39" t="n"/>
      <c r="K794" s="60">
        <f>IF(J794="","",SUMIFS(J$5:J794,D$5:D794,"Masuk")-SUMIFS(J$5:J794,D$5:D794,"Keluar"))</f>
        <v/>
      </c>
      <c r="L794" s="38" t="n"/>
      <c r="M794" s="38" t="n"/>
      <c r="N794" s="57">
        <f>IF(E794="","",IFERROR(IF(INDEX(Referensi!$B$5:$B$60,MATCH(E794,Referensi!$A$5:$A$60,0))=D794,"OK","Jenis tidak cocok"),"Kategori tidak dikenal"))</f>
        <v/>
      </c>
    </row>
    <row r="795" ht="15" customHeight="1" s="33">
      <c r="A795" s="57">
        <f>IF(B795="","",ROW()-4)</f>
        <v/>
      </c>
      <c r="B795" s="58" t="n"/>
      <c r="C795" s="38" t="n"/>
      <c r="D795" s="38" t="n"/>
      <c r="E795" s="38" t="n"/>
      <c r="F795" s="57">
        <f>IF(E795="","",IFERROR(INDEX(Referensi!$C$5:$C$60,MATCH(E795,Referensi!$A$5:$A$60,0)),"?"))</f>
        <v/>
      </c>
      <c r="G795" s="38" t="n"/>
      <c r="H795" s="59" t="n"/>
      <c r="I795" s="38" t="n"/>
      <c r="J795" s="39" t="n"/>
      <c r="K795" s="60">
        <f>IF(J795="","",SUMIFS(J$5:J795,D$5:D795,"Masuk")-SUMIFS(J$5:J795,D$5:D795,"Keluar"))</f>
        <v/>
      </c>
      <c r="L795" s="38" t="n"/>
      <c r="M795" s="38" t="n"/>
      <c r="N795" s="57">
        <f>IF(E795="","",IFERROR(IF(INDEX(Referensi!$B$5:$B$60,MATCH(E795,Referensi!$A$5:$A$60,0))=D795,"OK","Jenis tidak cocok"),"Kategori tidak dikenal"))</f>
        <v/>
      </c>
    </row>
    <row r="796" ht="15" customHeight="1" s="33">
      <c r="A796" s="57">
        <f>IF(B796="","",ROW()-4)</f>
        <v/>
      </c>
      <c r="B796" s="58" t="n"/>
      <c r="C796" s="38" t="n"/>
      <c r="D796" s="38" t="n"/>
      <c r="E796" s="38" t="n"/>
      <c r="F796" s="57">
        <f>IF(E796="","",IFERROR(INDEX(Referensi!$C$5:$C$60,MATCH(E796,Referensi!$A$5:$A$60,0)),"?"))</f>
        <v/>
      </c>
      <c r="G796" s="38" t="n"/>
      <c r="H796" s="59" t="n"/>
      <c r="I796" s="38" t="n"/>
      <c r="J796" s="39" t="n"/>
      <c r="K796" s="60">
        <f>IF(J796="","",SUMIFS(J$5:J796,D$5:D796,"Masuk")-SUMIFS(J$5:J796,D$5:D796,"Keluar"))</f>
        <v/>
      </c>
      <c r="L796" s="38" t="n"/>
      <c r="M796" s="38" t="n"/>
      <c r="N796" s="57">
        <f>IF(E796="","",IFERROR(IF(INDEX(Referensi!$B$5:$B$60,MATCH(E796,Referensi!$A$5:$A$60,0))=D796,"OK","Jenis tidak cocok"),"Kategori tidak dikenal"))</f>
        <v/>
      </c>
    </row>
    <row r="797" ht="15" customHeight="1" s="33">
      <c r="A797" s="57">
        <f>IF(B797="","",ROW()-4)</f>
        <v/>
      </c>
      <c r="B797" s="58" t="n"/>
      <c r="C797" s="38" t="n"/>
      <c r="D797" s="38" t="n"/>
      <c r="E797" s="38" t="n"/>
      <c r="F797" s="57">
        <f>IF(E797="","",IFERROR(INDEX(Referensi!$C$5:$C$60,MATCH(E797,Referensi!$A$5:$A$60,0)),"?"))</f>
        <v/>
      </c>
      <c r="G797" s="38" t="n"/>
      <c r="H797" s="59" t="n"/>
      <c r="I797" s="38" t="n"/>
      <c r="J797" s="39" t="n"/>
      <c r="K797" s="60">
        <f>IF(J797="","",SUMIFS(J$5:J797,D$5:D797,"Masuk")-SUMIFS(J$5:J797,D$5:D797,"Keluar"))</f>
        <v/>
      </c>
      <c r="L797" s="38" t="n"/>
      <c r="M797" s="38" t="n"/>
      <c r="N797" s="57">
        <f>IF(E797="","",IFERROR(IF(INDEX(Referensi!$B$5:$B$60,MATCH(E797,Referensi!$A$5:$A$60,0))=D797,"OK","Jenis tidak cocok"),"Kategori tidak dikenal"))</f>
        <v/>
      </c>
    </row>
    <row r="798" ht="15" customHeight="1" s="33">
      <c r="A798" s="57">
        <f>IF(B798="","",ROW()-4)</f>
        <v/>
      </c>
      <c r="B798" s="58" t="n"/>
      <c r="C798" s="38" t="n"/>
      <c r="D798" s="38" t="n"/>
      <c r="E798" s="38" t="n"/>
      <c r="F798" s="57">
        <f>IF(E798="","",IFERROR(INDEX(Referensi!$C$5:$C$60,MATCH(E798,Referensi!$A$5:$A$60,0)),"?"))</f>
        <v/>
      </c>
      <c r="G798" s="38" t="n"/>
      <c r="H798" s="59" t="n"/>
      <c r="I798" s="38" t="n"/>
      <c r="J798" s="39" t="n"/>
      <c r="K798" s="60">
        <f>IF(J798="","",SUMIFS(J$5:J798,D$5:D798,"Masuk")-SUMIFS(J$5:J798,D$5:D798,"Keluar"))</f>
        <v/>
      </c>
      <c r="L798" s="38" t="n"/>
      <c r="M798" s="38" t="n"/>
      <c r="N798" s="57">
        <f>IF(E798="","",IFERROR(IF(INDEX(Referensi!$B$5:$B$60,MATCH(E798,Referensi!$A$5:$A$60,0))=D798,"OK","Jenis tidak cocok"),"Kategori tidak dikenal"))</f>
        <v/>
      </c>
    </row>
    <row r="799" ht="15" customHeight="1" s="33">
      <c r="A799" s="57">
        <f>IF(B799="","",ROW()-4)</f>
        <v/>
      </c>
      <c r="B799" s="58" t="n"/>
      <c r="C799" s="38" t="n"/>
      <c r="D799" s="38" t="n"/>
      <c r="E799" s="38" t="n"/>
      <c r="F799" s="57">
        <f>IF(E799="","",IFERROR(INDEX(Referensi!$C$5:$C$60,MATCH(E799,Referensi!$A$5:$A$60,0)),"?"))</f>
        <v/>
      </c>
      <c r="G799" s="38" t="n"/>
      <c r="H799" s="59" t="n"/>
      <c r="I799" s="38" t="n"/>
      <c r="J799" s="39" t="n"/>
      <c r="K799" s="60">
        <f>IF(J799="","",SUMIFS(J$5:J799,D$5:D799,"Masuk")-SUMIFS(J$5:J799,D$5:D799,"Keluar"))</f>
        <v/>
      </c>
      <c r="L799" s="38" t="n"/>
      <c r="M799" s="38" t="n"/>
      <c r="N799" s="57">
        <f>IF(E799="","",IFERROR(IF(INDEX(Referensi!$B$5:$B$60,MATCH(E799,Referensi!$A$5:$A$60,0))=D799,"OK","Jenis tidak cocok"),"Kategori tidak dikenal"))</f>
        <v/>
      </c>
    </row>
    <row r="800" ht="15" customHeight="1" s="33">
      <c r="A800" s="57">
        <f>IF(B800="","",ROW()-4)</f>
        <v/>
      </c>
      <c r="B800" s="58" t="n"/>
      <c r="C800" s="38" t="n"/>
      <c r="D800" s="38" t="n"/>
      <c r="E800" s="38" t="n"/>
      <c r="F800" s="57">
        <f>IF(E800="","",IFERROR(INDEX(Referensi!$C$5:$C$60,MATCH(E800,Referensi!$A$5:$A$60,0)),"?"))</f>
        <v/>
      </c>
      <c r="G800" s="38" t="n"/>
      <c r="H800" s="59" t="n"/>
      <c r="I800" s="38" t="n"/>
      <c r="J800" s="39" t="n"/>
      <c r="K800" s="60">
        <f>IF(J800="","",SUMIFS(J$5:J800,D$5:D800,"Masuk")-SUMIFS(J$5:J800,D$5:D800,"Keluar"))</f>
        <v/>
      </c>
      <c r="L800" s="38" t="n"/>
      <c r="M800" s="38" t="n"/>
      <c r="N800" s="57">
        <f>IF(E800="","",IFERROR(IF(INDEX(Referensi!$B$5:$B$60,MATCH(E800,Referensi!$A$5:$A$60,0))=D800,"OK","Jenis tidak cocok"),"Kategori tidak dikenal"))</f>
        <v/>
      </c>
    </row>
    <row r="801" ht="15" customHeight="1" s="33">
      <c r="A801" s="57">
        <f>IF(B801="","",ROW()-4)</f>
        <v/>
      </c>
      <c r="B801" s="58" t="n"/>
      <c r="C801" s="38" t="n"/>
      <c r="D801" s="38" t="n"/>
      <c r="E801" s="38" t="n"/>
      <c r="F801" s="57">
        <f>IF(E801="","",IFERROR(INDEX(Referensi!$C$5:$C$60,MATCH(E801,Referensi!$A$5:$A$60,0)),"?"))</f>
        <v/>
      </c>
      <c r="G801" s="38" t="n"/>
      <c r="H801" s="59" t="n"/>
      <c r="I801" s="38" t="n"/>
      <c r="J801" s="39" t="n"/>
      <c r="K801" s="60">
        <f>IF(J801="","",SUMIFS(J$5:J801,D$5:D801,"Masuk")-SUMIFS(J$5:J801,D$5:D801,"Keluar"))</f>
        <v/>
      </c>
      <c r="L801" s="38" t="n"/>
      <c r="M801" s="38" t="n"/>
      <c r="N801" s="57">
        <f>IF(E801="","",IFERROR(IF(INDEX(Referensi!$B$5:$B$60,MATCH(E801,Referensi!$A$5:$A$60,0))=D801,"OK","Jenis tidak cocok"),"Kategori tidak dikenal"))</f>
        <v/>
      </c>
    </row>
    <row r="802" ht="15" customHeight="1" s="33">
      <c r="A802" s="57">
        <f>IF(B802="","",ROW()-4)</f>
        <v/>
      </c>
      <c r="B802" s="58" t="n"/>
      <c r="C802" s="38" t="n"/>
      <c r="D802" s="38" t="n"/>
      <c r="E802" s="38" t="n"/>
      <c r="F802" s="57">
        <f>IF(E802="","",IFERROR(INDEX(Referensi!$C$5:$C$60,MATCH(E802,Referensi!$A$5:$A$60,0)),"?"))</f>
        <v/>
      </c>
      <c r="G802" s="38" t="n"/>
      <c r="H802" s="59" t="n"/>
      <c r="I802" s="38" t="n"/>
      <c r="J802" s="39" t="n"/>
      <c r="K802" s="60">
        <f>IF(J802="","",SUMIFS(J$5:J802,D$5:D802,"Masuk")-SUMIFS(J$5:J802,D$5:D802,"Keluar"))</f>
        <v/>
      </c>
      <c r="L802" s="38" t="n"/>
      <c r="M802" s="38" t="n"/>
      <c r="N802" s="57">
        <f>IF(E802="","",IFERROR(IF(INDEX(Referensi!$B$5:$B$60,MATCH(E802,Referensi!$A$5:$A$60,0))=D802,"OK","Jenis tidak cocok"),"Kategori tidak dikenal"))</f>
        <v/>
      </c>
    </row>
    <row r="803" ht="15" customHeight="1" s="33">
      <c r="A803" s="57">
        <f>IF(B803="","",ROW()-4)</f>
        <v/>
      </c>
      <c r="B803" s="58" t="n"/>
      <c r="C803" s="38" t="n"/>
      <c r="D803" s="38" t="n"/>
      <c r="E803" s="38" t="n"/>
      <c r="F803" s="57">
        <f>IF(E803="","",IFERROR(INDEX(Referensi!$C$5:$C$60,MATCH(E803,Referensi!$A$5:$A$60,0)),"?"))</f>
        <v/>
      </c>
      <c r="G803" s="38" t="n"/>
      <c r="H803" s="59" t="n"/>
      <c r="I803" s="38" t="n"/>
      <c r="J803" s="39" t="n"/>
      <c r="K803" s="60">
        <f>IF(J803="","",SUMIFS(J$5:J803,D$5:D803,"Masuk")-SUMIFS(J$5:J803,D$5:D803,"Keluar"))</f>
        <v/>
      </c>
      <c r="L803" s="38" t="n"/>
      <c r="M803" s="38" t="n"/>
      <c r="N803" s="57">
        <f>IF(E803="","",IFERROR(IF(INDEX(Referensi!$B$5:$B$60,MATCH(E803,Referensi!$A$5:$A$60,0))=D803,"OK","Jenis tidak cocok"),"Kategori tidak dikenal"))</f>
        <v/>
      </c>
    </row>
    <row r="804" ht="15" customHeight="1" s="33">
      <c r="A804" s="57">
        <f>IF(B804="","",ROW()-4)</f>
        <v/>
      </c>
      <c r="B804" s="58" t="n"/>
      <c r="C804" s="38" t="n"/>
      <c r="D804" s="38" t="n"/>
      <c r="E804" s="38" t="n"/>
      <c r="F804" s="57">
        <f>IF(E804="","",IFERROR(INDEX(Referensi!$C$5:$C$60,MATCH(E804,Referensi!$A$5:$A$60,0)),"?"))</f>
        <v/>
      </c>
      <c r="G804" s="38" t="n"/>
      <c r="H804" s="59" t="n"/>
      <c r="I804" s="38" t="n"/>
      <c r="J804" s="39" t="n"/>
      <c r="K804" s="60">
        <f>IF(J804="","",SUMIFS(J$5:J804,D$5:D804,"Masuk")-SUMIFS(J$5:J804,D$5:D804,"Keluar"))</f>
        <v/>
      </c>
      <c r="L804" s="38" t="n"/>
      <c r="M804" s="38" t="n"/>
      <c r="N804" s="57">
        <f>IF(E804="","",IFERROR(IF(INDEX(Referensi!$B$5:$B$60,MATCH(E804,Referensi!$A$5:$A$60,0))=D804,"OK","Jenis tidak cocok"),"Kategori tidak dikenal"))</f>
        <v/>
      </c>
    </row>
    <row r="805" ht="15" customHeight="1" s="33">
      <c r="A805" s="57">
        <f>IF(B805="","",ROW()-4)</f>
        <v/>
      </c>
      <c r="B805" s="58" t="n"/>
      <c r="C805" s="38" t="n"/>
      <c r="D805" s="38" t="n"/>
      <c r="E805" s="38" t="n"/>
      <c r="F805" s="57">
        <f>IF(E805="","",IFERROR(INDEX(Referensi!$C$5:$C$60,MATCH(E805,Referensi!$A$5:$A$60,0)),"?"))</f>
        <v/>
      </c>
      <c r="G805" s="38" t="n"/>
      <c r="H805" s="59" t="n"/>
      <c r="I805" s="38" t="n"/>
      <c r="J805" s="39" t="n"/>
      <c r="K805" s="60">
        <f>IF(J805="","",SUMIFS(J$5:J805,D$5:D805,"Masuk")-SUMIFS(J$5:J805,D$5:D805,"Keluar"))</f>
        <v/>
      </c>
      <c r="L805" s="38" t="n"/>
      <c r="M805" s="38" t="n"/>
      <c r="N805" s="57">
        <f>IF(E805="","",IFERROR(IF(INDEX(Referensi!$B$5:$B$60,MATCH(E805,Referensi!$A$5:$A$60,0))=D805,"OK","Jenis tidak cocok"),"Kategori tidak dikenal"))</f>
        <v/>
      </c>
    </row>
    <row r="806" ht="15" customHeight="1" s="33">
      <c r="A806" s="57">
        <f>IF(B806="","",ROW()-4)</f>
        <v/>
      </c>
      <c r="B806" s="58" t="n"/>
      <c r="C806" s="38" t="n"/>
      <c r="D806" s="38" t="n"/>
      <c r="E806" s="38" t="n"/>
      <c r="F806" s="57">
        <f>IF(E806="","",IFERROR(INDEX(Referensi!$C$5:$C$60,MATCH(E806,Referensi!$A$5:$A$60,0)),"?"))</f>
        <v/>
      </c>
      <c r="G806" s="38" t="n"/>
      <c r="H806" s="59" t="n"/>
      <c r="I806" s="38" t="n"/>
      <c r="J806" s="39" t="n"/>
      <c r="K806" s="60">
        <f>IF(J806="","",SUMIFS(J$5:J806,D$5:D806,"Masuk")-SUMIFS(J$5:J806,D$5:D806,"Keluar"))</f>
        <v/>
      </c>
      <c r="L806" s="38" t="n"/>
      <c r="M806" s="38" t="n"/>
      <c r="N806" s="57">
        <f>IF(E806="","",IFERROR(IF(INDEX(Referensi!$B$5:$B$60,MATCH(E806,Referensi!$A$5:$A$60,0))=D806,"OK","Jenis tidak cocok"),"Kategori tidak dikenal"))</f>
        <v/>
      </c>
    </row>
    <row r="807" ht="15" customHeight="1" s="33">
      <c r="A807" s="57">
        <f>IF(B807="","",ROW()-4)</f>
        <v/>
      </c>
      <c r="B807" s="58" t="n"/>
      <c r="C807" s="38" t="n"/>
      <c r="D807" s="38" t="n"/>
      <c r="E807" s="38" t="n"/>
      <c r="F807" s="57">
        <f>IF(E807="","",IFERROR(INDEX(Referensi!$C$5:$C$60,MATCH(E807,Referensi!$A$5:$A$60,0)),"?"))</f>
        <v/>
      </c>
      <c r="G807" s="38" t="n"/>
      <c r="H807" s="59" t="n"/>
      <c r="I807" s="38" t="n"/>
      <c r="J807" s="39" t="n"/>
      <c r="K807" s="60">
        <f>IF(J807="","",SUMIFS(J$5:J807,D$5:D807,"Masuk")-SUMIFS(J$5:J807,D$5:D807,"Keluar"))</f>
        <v/>
      </c>
      <c r="L807" s="38" t="n"/>
      <c r="M807" s="38" t="n"/>
      <c r="N807" s="57">
        <f>IF(E807="","",IFERROR(IF(INDEX(Referensi!$B$5:$B$60,MATCH(E807,Referensi!$A$5:$A$60,0))=D807,"OK","Jenis tidak cocok"),"Kategori tidak dikenal"))</f>
        <v/>
      </c>
    </row>
    <row r="808" ht="15" customHeight="1" s="33">
      <c r="A808" s="57">
        <f>IF(B808="","",ROW()-4)</f>
        <v/>
      </c>
      <c r="B808" s="58" t="n"/>
      <c r="C808" s="38" t="n"/>
      <c r="D808" s="38" t="n"/>
      <c r="E808" s="38" t="n"/>
      <c r="F808" s="57">
        <f>IF(E808="","",IFERROR(INDEX(Referensi!$C$5:$C$60,MATCH(E808,Referensi!$A$5:$A$60,0)),"?"))</f>
        <v/>
      </c>
      <c r="G808" s="38" t="n"/>
      <c r="H808" s="59" t="n"/>
      <c r="I808" s="38" t="n"/>
      <c r="J808" s="39" t="n"/>
      <c r="K808" s="60">
        <f>IF(J808="","",SUMIFS(J$5:J808,D$5:D808,"Masuk")-SUMIFS(J$5:J808,D$5:D808,"Keluar"))</f>
        <v/>
      </c>
      <c r="L808" s="38" t="n"/>
      <c r="M808" s="38" t="n"/>
      <c r="N808" s="57">
        <f>IF(E808="","",IFERROR(IF(INDEX(Referensi!$B$5:$B$60,MATCH(E808,Referensi!$A$5:$A$60,0))=D808,"OK","Jenis tidak cocok"),"Kategori tidak dikenal"))</f>
        <v/>
      </c>
    </row>
    <row r="809" ht="15" customHeight="1" s="33">
      <c r="A809" s="57">
        <f>IF(B809="","",ROW()-4)</f>
        <v/>
      </c>
      <c r="B809" s="58" t="n"/>
      <c r="C809" s="38" t="n"/>
      <c r="D809" s="38" t="n"/>
      <c r="E809" s="38" t="n"/>
      <c r="F809" s="57">
        <f>IF(E809="","",IFERROR(INDEX(Referensi!$C$5:$C$60,MATCH(E809,Referensi!$A$5:$A$60,0)),"?"))</f>
        <v/>
      </c>
      <c r="G809" s="38" t="n"/>
      <c r="H809" s="59" t="n"/>
      <c r="I809" s="38" t="n"/>
      <c r="J809" s="39" t="n"/>
      <c r="K809" s="60">
        <f>IF(J809="","",SUMIFS(J$5:J809,D$5:D809,"Masuk")-SUMIFS(J$5:J809,D$5:D809,"Keluar"))</f>
        <v/>
      </c>
      <c r="L809" s="38" t="n"/>
      <c r="M809" s="38" t="n"/>
      <c r="N809" s="57">
        <f>IF(E809="","",IFERROR(IF(INDEX(Referensi!$B$5:$B$60,MATCH(E809,Referensi!$A$5:$A$60,0))=D809,"OK","Jenis tidak cocok"),"Kategori tidak dikenal"))</f>
        <v/>
      </c>
    </row>
    <row r="810" ht="15" customHeight="1" s="33">
      <c r="A810" s="57">
        <f>IF(B810="","",ROW()-4)</f>
        <v/>
      </c>
      <c r="B810" s="58" t="n"/>
      <c r="C810" s="38" t="n"/>
      <c r="D810" s="38" t="n"/>
      <c r="E810" s="38" t="n"/>
      <c r="F810" s="57">
        <f>IF(E810="","",IFERROR(INDEX(Referensi!$C$5:$C$60,MATCH(E810,Referensi!$A$5:$A$60,0)),"?"))</f>
        <v/>
      </c>
      <c r="G810" s="38" t="n"/>
      <c r="H810" s="59" t="n"/>
      <c r="I810" s="38" t="n"/>
      <c r="J810" s="39" t="n"/>
      <c r="K810" s="60">
        <f>IF(J810="","",SUMIFS(J$5:J810,D$5:D810,"Masuk")-SUMIFS(J$5:J810,D$5:D810,"Keluar"))</f>
        <v/>
      </c>
      <c r="L810" s="38" t="n"/>
      <c r="M810" s="38" t="n"/>
      <c r="N810" s="57">
        <f>IF(E810="","",IFERROR(IF(INDEX(Referensi!$B$5:$B$60,MATCH(E810,Referensi!$A$5:$A$60,0))=D810,"OK","Jenis tidak cocok"),"Kategori tidak dikenal"))</f>
        <v/>
      </c>
    </row>
    <row r="811" ht="15" customHeight="1" s="33">
      <c r="A811" s="57">
        <f>IF(B811="","",ROW()-4)</f>
        <v/>
      </c>
      <c r="B811" s="58" t="n"/>
      <c r="C811" s="38" t="n"/>
      <c r="D811" s="38" t="n"/>
      <c r="E811" s="38" t="n"/>
      <c r="F811" s="57">
        <f>IF(E811="","",IFERROR(INDEX(Referensi!$C$5:$C$60,MATCH(E811,Referensi!$A$5:$A$60,0)),"?"))</f>
        <v/>
      </c>
      <c r="G811" s="38" t="n"/>
      <c r="H811" s="59" t="n"/>
      <c r="I811" s="38" t="n"/>
      <c r="J811" s="39" t="n"/>
      <c r="K811" s="60">
        <f>IF(J811="","",SUMIFS(J$5:J811,D$5:D811,"Masuk")-SUMIFS(J$5:J811,D$5:D811,"Keluar"))</f>
        <v/>
      </c>
      <c r="L811" s="38" t="n"/>
      <c r="M811" s="38" t="n"/>
      <c r="N811" s="57">
        <f>IF(E811="","",IFERROR(IF(INDEX(Referensi!$B$5:$B$60,MATCH(E811,Referensi!$A$5:$A$60,0))=D811,"OK","Jenis tidak cocok"),"Kategori tidak dikenal"))</f>
        <v/>
      </c>
    </row>
    <row r="812" ht="15" customHeight="1" s="33">
      <c r="A812" s="57">
        <f>IF(B812="","",ROW()-4)</f>
        <v/>
      </c>
      <c r="B812" s="58" t="n"/>
      <c r="C812" s="38" t="n"/>
      <c r="D812" s="38" t="n"/>
      <c r="E812" s="38" t="n"/>
      <c r="F812" s="57">
        <f>IF(E812="","",IFERROR(INDEX(Referensi!$C$5:$C$60,MATCH(E812,Referensi!$A$5:$A$60,0)),"?"))</f>
        <v/>
      </c>
      <c r="G812" s="38" t="n"/>
      <c r="H812" s="59" t="n"/>
      <c r="I812" s="38" t="n"/>
      <c r="J812" s="39" t="n"/>
      <c r="K812" s="60">
        <f>IF(J812="","",SUMIFS(J$5:J812,D$5:D812,"Masuk")-SUMIFS(J$5:J812,D$5:D812,"Keluar"))</f>
        <v/>
      </c>
      <c r="L812" s="38" t="n"/>
      <c r="M812" s="38" t="n"/>
      <c r="N812" s="57">
        <f>IF(E812="","",IFERROR(IF(INDEX(Referensi!$B$5:$B$60,MATCH(E812,Referensi!$A$5:$A$60,0))=D812,"OK","Jenis tidak cocok"),"Kategori tidak dikenal"))</f>
        <v/>
      </c>
    </row>
    <row r="813" ht="15" customHeight="1" s="33">
      <c r="A813" s="57">
        <f>IF(B813="","",ROW()-4)</f>
        <v/>
      </c>
      <c r="B813" s="58" t="n"/>
      <c r="C813" s="38" t="n"/>
      <c r="D813" s="38" t="n"/>
      <c r="E813" s="38" t="n"/>
      <c r="F813" s="57">
        <f>IF(E813="","",IFERROR(INDEX(Referensi!$C$5:$C$60,MATCH(E813,Referensi!$A$5:$A$60,0)),"?"))</f>
        <v/>
      </c>
      <c r="G813" s="38" t="n"/>
      <c r="H813" s="59" t="n"/>
      <c r="I813" s="38" t="n"/>
      <c r="J813" s="39" t="n"/>
      <c r="K813" s="60">
        <f>IF(J813="","",SUMIFS(J$5:J813,D$5:D813,"Masuk")-SUMIFS(J$5:J813,D$5:D813,"Keluar"))</f>
        <v/>
      </c>
      <c r="L813" s="38" t="n"/>
      <c r="M813" s="38" t="n"/>
      <c r="N813" s="57">
        <f>IF(E813="","",IFERROR(IF(INDEX(Referensi!$B$5:$B$60,MATCH(E813,Referensi!$A$5:$A$60,0))=D813,"OK","Jenis tidak cocok"),"Kategori tidak dikenal"))</f>
        <v/>
      </c>
    </row>
    <row r="814" ht="15" customHeight="1" s="33">
      <c r="A814" s="57">
        <f>IF(B814="","",ROW()-4)</f>
        <v/>
      </c>
      <c r="B814" s="58" t="n"/>
      <c r="C814" s="38" t="n"/>
      <c r="D814" s="38" t="n"/>
      <c r="E814" s="38" t="n"/>
      <c r="F814" s="57">
        <f>IF(E814="","",IFERROR(INDEX(Referensi!$C$5:$C$60,MATCH(E814,Referensi!$A$5:$A$60,0)),"?"))</f>
        <v/>
      </c>
      <c r="G814" s="38" t="n"/>
      <c r="H814" s="59" t="n"/>
      <c r="I814" s="38" t="n"/>
      <c r="J814" s="39" t="n"/>
      <c r="K814" s="60">
        <f>IF(J814="","",SUMIFS(J$5:J814,D$5:D814,"Masuk")-SUMIFS(J$5:J814,D$5:D814,"Keluar"))</f>
        <v/>
      </c>
      <c r="L814" s="38" t="n"/>
      <c r="M814" s="38" t="n"/>
      <c r="N814" s="57">
        <f>IF(E814="","",IFERROR(IF(INDEX(Referensi!$B$5:$B$60,MATCH(E814,Referensi!$A$5:$A$60,0))=D814,"OK","Jenis tidak cocok"),"Kategori tidak dikenal"))</f>
        <v/>
      </c>
    </row>
    <row r="815" ht="15" customHeight="1" s="33">
      <c r="A815" s="57">
        <f>IF(B815="","",ROW()-4)</f>
        <v/>
      </c>
      <c r="B815" s="58" t="n"/>
      <c r="C815" s="38" t="n"/>
      <c r="D815" s="38" t="n"/>
      <c r="E815" s="38" t="n"/>
      <c r="F815" s="57">
        <f>IF(E815="","",IFERROR(INDEX(Referensi!$C$5:$C$60,MATCH(E815,Referensi!$A$5:$A$60,0)),"?"))</f>
        <v/>
      </c>
      <c r="G815" s="38" t="n"/>
      <c r="H815" s="59" t="n"/>
      <c r="I815" s="38" t="n"/>
      <c r="J815" s="39" t="n"/>
      <c r="K815" s="60">
        <f>IF(J815="","",SUMIFS(J$5:J815,D$5:D815,"Masuk")-SUMIFS(J$5:J815,D$5:D815,"Keluar"))</f>
        <v/>
      </c>
      <c r="L815" s="38" t="n"/>
      <c r="M815" s="38" t="n"/>
      <c r="N815" s="57">
        <f>IF(E815="","",IFERROR(IF(INDEX(Referensi!$B$5:$B$60,MATCH(E815,Referensi!$A$5:$A$60,0))=D815,"OK","Jenis tidak cocok"),"Kategori tidak dikenal"))</f>
        <v/>
      </c>
    </row>
    <row r="816" ht="15" customHeight="1" s="33">
      <c r="A816" s="57">
        <f>IF(B816="","",ROW()-4)</f>
        <v/>
      </c>
      <c r="B816" s="58" t="n"/>
      <c r="C816" s="38" t="n"/>
      <c r="D816" s="38" t="n"/>
      <c r="E816" s="38" t="n"/>
      <c r="F816" s="57">
        <f>IF(E816="","",IFERROR(INDEX(Referensi!$C$5:$C$60,MATCH(E816,Referensi!$A$5:$A$60,0)),"?"))</f>
        <v/>
      </c>
      <c r="G816" s="38" t="n"/>
      <c r="H816" s="59" t="n"/>
      <c r="I816" s="38" t="n"/>
      <c r="J816" s="39" t="n"/>
      <c r="K816" s="60">
        <f>IF(J816="","",SUMIFS(J$5:J816,D$5:D816,"Masuk")-SUMIFS(J$5:J816,D$5:D816,"Keluar"))</f>
        <v/>
      </c>
      <c r="L816" s="38" t="n"/>
      <c r="M816" s="38" t="n"/>
      <c r="N816" s="57">
        <f>IF(E816="","",IFERROR(IF(INDEX(Referensi!$B$5:$B$60,MATCH(E816,Referensi!$A$5:$A$60,0))=D816,"OK","Jenis tidak cocok"),"Kategori tidak dikenal"))</f>
        <v/>
      </c>
    </row>
    <row r="817" ht="15" customHeight="1" s="33">
      <c r="A817" s="57">
        <f>IF(B817="","",ROW()-4)</f>
        <v/>
      </c>
      <c r="B817" s="58" t="n"/>
      <c r="C817" s="38" t="n"/>
      <c r="D817" s="38" t="n"/>
      <c r="E817" s="38" t="n"/>
      <c r="F817" s="57">
        <f>IF(E817="","",IFERROR(INDEX(Referensi!$C$5:$C$60,MATCH(E817,Referensi!$A$5:$A$60,0)),"?"))</f>
        <v/>
      </c>
      <c r="G817" s="38" t="n"/>
      <c r="H817" s="59" t="n"/>
      <c r="I817" s="38" t="n"/>
      <c r="J817" s="39" t="n"/>
      <c r="K817" s="60">
        <f>IF(J817="","",SUMIFS(J$5:J817,D$5:D817,"Masuk")-SUMIFS(J$5:J817,D$5:D817,"Keluar"))</f>
        <v/>
      </c>
      <c r="L817" s="38" t="n"/>
      <c r="M817" s="38" t="n"/>
      <c r="N817" s="57">
        <f>IF(E817="","",IFERROR(IF(INDEX(Referensi!$B$5:$B$60,MATCH(E817,Referensi!$A$5:$A$60,0))=D817,"OK","Jenis tidak cocok"),"Kategori tidak dikenal"))</f>
        <v/>
      </c>
    </row>
    <row r="818" ht="15" customHeight="1" s="33">
      <c r="A818" s="57">
        <f>IF(B818="","",ROW()-4)</f>
        <v/>
      </c>
      <c r="B818" s="58" t="n"/>
      <c r="C818" s="38" t="n"/>
      <c r="D818" s="38" t="n"/>
      <c r="E818" s="38" t="n"/>
      <c r="F818" s="57">
        <f>IF(E818="","",IFERROR(INDEX(Referensi!$C$5:$C$60,MATCH(E818,Referensi!$A$5:$A$60,0)),"?"))</f>
        <v/>
      </c>
      <c r="G818" s="38" t="n"/>
      <c r="H818" s="59" t="n"/>
      <c r="I818" s="38" t="n"/>
      <c r="J818" s="39" t="n"/>
      <c r="K818" s="60">
        <f>IF(J818="","",SUMIFS(J$5:J818,D$5:D818,"Masuk")-SUMIFS(J$5:J818,D$5:D818,"Keluar"))</f>
        <v/>
      </c>
      <c r="L818" s="38" t="n"/>
      <c r="M818" s="38" t="n"/>
      <c r="N818" s="57">
        <f>IF(E818="","",IFERROR(IF(INDEX(Referensi!$B$5:$B$60,MATCH(E818,Referensi!$A$5:$A$60,0))=D818,"OK","Jenis tidak cocok"),"Kategori tidak dikenal"))</f>
        <v/>
      </c>
    </row>
    <row r="819" ht="15" customHeight="1" s="33">
      <c r="A819" s="57">
        <f>IF(B819="","",ROW()-4)</f>
        <v/>
      </c>
      <c r="B819" s="58" t="n"/>
      <c r="C819" s="38" t="n"/>
      <c r="D819" s="38" t="n"/>
      <c r="E819" s="38" t="n"/>
      <c r="F819" s="57">
        <f>IF(E819="","",IFERROR(INDEX(Referensi!$C$5:$C$60,MATCH(E819,Referensi!$A$5:$A$60,0)),"?"))</f>
        <v/>
      </c>
      <c r="G819" s="38" t="n"/>
      <c r="H819" s="59" t="n"/>
      <c r="I819" s="38" t="n"/>
      <c r="J819" s="39" t="n"/>
      <c r="K819" s="60">
        <f>IF(J819="","",SUMIFS(J$5:J819,D$5:D819,"Masuk")-SUMIFS(J$5:J819,D$5:D819,"Keluar"))</f>
        <v/>
      </c>
      <c r="L819" s="38" t="n"/>
      <c r="M819" s="38" t="n"/>
      <c r="N819" s="57">
        <f>IF(E819="","",IFERROR(IF(INDEX(Referensi!$B$5:$B$60,MATCH(E819,Referensi!$A$5:$A$60,0))=D819,"OK","Jenis tidak cocok"),"Kategori tidak dikenal"))</f>
        <v/>
      </c>
    </row>
    <row r="820" ht="15" customHeight="1" s="33">
      <c r="A820" s="57">
        <f>IF(B820="","",ROW()-4)</f>
        <v/>
      </c>
      <c r="B820" s="58" t="n"/>
      <c r="C820" s="38" t="n"/>
      <c r="D820" s="38" t="n"/>
      <c r="E820" s="38" t="n"/>
      <c r="F820" s="57">
        <f>IF(E820="","",IFERROR(INDEX(Referensi!$C$5:$C$60,MATCH(E820,Referensi!$A$5:$A$60,0)),"?"))</f>
        <v/>
      </c>
      <c r="G820" s="38" t="n"/>
      <c r="H820" s="59" t="n"/>
      <c r="I820" s="38" t="n"/>
      <c r="J820" s="39" t="n"/>
      <c r="K820" s="60">
        <f>IF(J820="","",SUMIFS(J$5:J820,D$5:D820,"Masuk")-SUMIFS(J$5:J820,D$5:D820,"Keluar"))</f>
        <v/>
      </c>
      <c r="L820" s="38" t="n"/>
      <c r="M820" s="38" t="n"/>
      <c r="N820" s="57">
        <f>IF(E820="","",IFERROR(IF(INDEX(Referensi!$B$5:$B$60,MATCH(E820,Referensi!$A$5:$A$60,0))=D820,"OK","Jenis tidak cocok"),"Kategori tidak dikenal"))</f>
        <v/>
      </c>
    </row>
    <row r="821" ht="15" customHeight="1" s="33">
      <c r="A821" s="57">
        <f>IF(B821="","",ROW()-4)</f>
        <v/>
      </c>
      <c r="B821" s="58" t="n"/>
      <c r="C821" s="38" t="n"/>
      <c r="D821" s="38" t="n"/>
      <c r="E821" s="38" t="n"/>
      <c r="F821" s="57">
        <f>IF(E821="","",IFERROR(INDEX(Referensi!$C$5:$C$60,MATCH(E821,Referensi!$A$5:$A$60,0)),"?"))</f>
        <v/>
      </c>
      <c r="G821" s="38" t="n"/>
      <c r="H821" s="59" t="n"/>
      <c r="I821" s="38" t="n"/>
      <c r="J821" s="39" t="n"/>
      <c r="K821" s="60">
        <f>IF(J821="","",SUMIFS(J$5:J821,D$5:D821,"Masuk")-SUMIFS(J$5:J821,D$5:D821,"Keluar"))</f>
        <v/>
      </c>
      <c r="L821" s="38" t="n"/>
      <c r="M821" s="38" t="n"/>
      <c r="N821" s="57">
        <f>IF(E821="","",IFERROR(IF(INDEX(Referensi!$B$5:$B$60,MATCH(E821,Referensi!$A$5:$A$60,0))=D821,"OK","Jenis tidak cocok"),"Kategori tidak dikenal"))</f>
        <v/>
      </c>
    </row>
    <row r="822" ht="15" customHeight="1" s="33">
      <c r="A822" s="57">
        <f>IF(B822="","",ROW()-4)</f>
        <v/>
      </c>
      <c r="B822" s="58" t="n"/>
      <c r="C822" s="38" t="n"/>
      <c r="D822" s="38" t="n"/>
      <c r="E822" s="38" t="n"/>
      <c r="F822" s="57">
        <f>IF(E822="","",IFERROR(INDEX(Referensi!$C$5:$C$60,MATCH(E822,Referensi!$A$5:$A$60,0)),"?"))</f>
        <v/>
      </c>
      <c r="G822" s="38" t="n"/>
      <c r="H822" s="59" t="n"/>
      <c r="I822" s="38" t="n"/>
      <c r="J822" s="39" t="n"/>
      <c r="K822" s="60">
        <f>IF(J822="","",SUMIFS(J$5:J822,D$5:D822,"Masuk")-SUMIFS(J$5:J822,D$5:D822,"Keluar"))</f>
        <v/>
      </c>
      <c r="L822" s="38" t="n"/>
      <c r="M822" s="38" t="n"/>
      <c r="N822" s="57">
        <f>IF(E822="","",IFERROR(IF(INDEX(Referensi!$B$5:$B$60,MATCH(E822,Referensi!$A$5:$A$60,0))=D822,"OK","Jenis tidak cocok"),"Kategori tidak dikenal"))</f>
        <v/>
      </c>
    </row>
    <row r="823" ht="15" customHeight="1" s="33">
      <c r="A823" s="57">
        <f>IF(B823="","",ROW()-4)</f>
        <v/>
      </c>
      <c r="B823" s="58" t="n"/>
      <c r="C823" s="38" t="n"/>
      <c r="D823" s="38" t="n"/>
      <c r="E823" s="38" t="n"/>
      <c r="F823" s="57">
        <f>IF(E823="","",IFERROR(INDEX(Referensi!$C$5:$C$60,MATCH(E823,Referensi!$A$5:$A$60,0)),"?"))</f>
        <v/>
      </c>
      <c r="G823" s="38" t="n"/>
      <c r="H823" s="59" t="n"/>
      <c r="I823" s="38" t="n"/>
      <c r="J823" s="39" t="n"/>
      <c r="K823" s="60">
        <f>IF(J823="","",SUMIFS(J$5:J823,D$5:D823,"Masuk")-SUMIFS(J$5:J823,D$5:D823,"Keluar"))</f>
        <v/>
      </c>
      <c r="L823" s="38" t="n"/>
      <c r="M823" s="38" t="n"/>
      <c r="N823" s="57">
        <f>IF(E823="","",IFERROR(IF(INDEX(Referensi!$B$5:$B$60,MATCH(E823,Referensi!$A$5:$A$60,0))=D823,"OK","Jenis tidak cocok"),"Kategori tidak dikenal"))</f>
        <v/>
      </c>
    </row>
    <row r="824" ht="15" customHeight="1" s="33">
      <c r="A824" s="57">
        <f>IF(B824="","",ROW()-4)</f>
        <v/>
      </c>
      <c r="B824" s="58" t="n"/>
      <c r="C824" s="38" t="n"/>
      <c r="D824" s="38" t="n"/>
      <c r="E824" s="38" t="n"/>
      <c r="F824" s="57">
        <f>IF(E824="","",IFERROR(INDEX(Referensi!$C$5:$C$60,MATCH(E824,Referensi!$A$5:$A$60,0)),"?"))</f>
        <v/>
      </c>
      <c r="G824" s="38" t="n"/>
      <c r="H824" s="59" t="n"/>
      <c r="I824" s="38" t="n"/>
      <c r="J824" s="39" t="n"/>
      <c r="K824" s="60">
        <f>IF(J824="","",SUMIFS(J$5:J824,D$5:D824,"Masuk")-SUMIFS(J$5:J824,D$5:D824,"Keluar"))</f>
        <v/>
      </c>
      <c r="L824" s="38" t="n"/>
      <c r="M824" s="38" t="n"/>
      <c r="N824" s="57">
        <f>IF(E824="","",IFERROR(IF(INDEX(Referensi!$B$5:$B$60,MATCH(E824,Referensi!$A$5:$A$60,0))=D824,"OK","Jenis tidak cocok"),"Kategori tidak dikenal"))</f>
        <v/>
      </c>
    </row>
    <row r="825" ht="15" customHeight="1" s="33">
      <c r="A825" s="57">
        <f>IF(B825="","",ROW()-4)</f>
        <v/>
      </c>
      <c r="B825" s="58" t="n"/>
      <c r="C825" s="38" t="n"/>
      <c r="D825" s="38" t="n"/>
      <c r="E825" s="38" t="n"/>
      <c r="F825" s="57">
        <f>IF(E825="","",IFERROR(INDEX(Referensi!$C$5:$C$60,MATCH(E825,Referensi!$A$5:$A$60,0)),"?"))</f>
        <v/>
      </c>
      <c r="G825" s="38" t="n"/>
      <c r="H825" s="59" t="n"/>
      <c r="I825" s="38" t="n"/>
      <c r="J825" s="39" t="n"/>
      <c r="K825" s="60">
        <f>IF(J825="","",SUMIFS(J$5:J825,D$5:D825,"Masuk")-SUMIFS(J$5:J825,D$5:D825,"Keluar"))</f>
        <v/>
      </c>
      <c r="L825" s="38" t="n"/>
      <c r="M825" s="38" t="n"/>
      <c r="N825" s="57">
        <f>IF(E825="","",IFERROR(IF(INDEX(Referensi!$B$5:$B$60,MATCH(E825,Referensi!$A$5:$A$60,0))=D825,"OK","Jenis tidak cocok"),"Kategori tidak dikenal"))</f>
        <v/>
      </c>
    </row>
    <row r="826" ht="15" customHeight="1" s="33">
      <c r="A826" s="57">
        <f>IF(B826="","",ROW()-4)</f>
        <v/>
      </c>
      <c r="B826" s="58" t="n"/>
      <c r="C826" s="38" t="n"/>
      <c r="D826" s="38" t="n"/>
      <c r="E826" s="38" t="n"/>
      <c r="F826" s="57">
        <f>IF(E826="","",IFERROR(INDEX(Referensi!$C$5:$C$60,MATCH(E826,Referensi!$A$5:$A$60,0)),"?"))</f>
        <v/>
      </c>
      <c r="G826" s="38" t="n"/>
      <c r="H826" s="59" t="n"/>
      <c r="I826" s="38" t="n"/>
      <c r="J826" s="39" t="n"/>
      <c r="K826" s="60">
        <f>IF(J826="","",SUMIFS(J$5:J826,D$5:D826,"Masuk")-SUMIFS(J$5:J826,D$5:D826,"Keluar"))</f>
        <v/>
      </c>
      <c r="L826" s="38" t="n"/>
      <c r="M826" s="38" t="n"/>
      <c r="N826" s="57">
        <f>IF(E826="","",IFERROR(IF(INDEX(Referensi!$B$5:$B$60,MATCH(E826,Referensi!$A$5:$A$60,0))=D826,"OK","Jenis tidak cocok"),"Kategori tidak dikenal"))</f>
        <v/>
      </c>
    </row>
    <row r="827" ht="15" customHeight="1" s="33">
      <c r="A827" s="57">
        <f>IF(B827="","",ROW()-4)</f>
        <v/>
      </c>
      <c r="B827" s="58" t="n"/>
      <c r="C827" s="38" t="n"/>
      <c r="D827" s="38" t="n"/>
      <c r="E827" s="38" t="n"/>
      <c r="F827" s="57">
        <f>IF(E827="","",IFERROR(INDEX(Referensi!$C$5:$C$60,MATCH(E827,Referensi!$A$5:$A$60,0)),"?"))</f>
        <v/>
      </c>
      <c r="G827" s="38" t="n"/>
      <c r="H827" s="59" t="n"/>
      <c r="I827" s="38" t="n"/>
      <c r="J827" s="39" t="n"/>
      <c r="K827" s="60">
        <f>IF(J827="","",SUMIFS(J$5:J827,D$5:D827,"Masuk")-SUMIFS(J$5:J827,D$5:D827,"Keluar"))</f>
        <v/>
      </c>
      <c r="L827" s="38" t="n"/>
      <c r="M827" s="38" t="n"/>
      <c r="N827" s="57">
        <f>IF(E827="","",IFERROR(IF(INDEX(Referensi!$B$5:$B$60,MATCH(E827,Referensi!$A$5:$A$60,0))=D827,"OK","Jenis tidak cocok"),"Kategori tidak dikenal"))</f>
        <v/>
      </c>
    </row>
    <row r="828" ht="15" customHeight="1" s="33">
      <c r="A828" s="57">
        <f>IF(B828="","",ROW()-4)</f>
        <v/>
      </c>
      <c r="B828" s="58" t="n"/>
      <c r="C828" s="38" t="n"/>
      <c r="D828" s="38" t="n"/>
      <c r="E828" s="38" t="n"/>
      <c r="F828" s="57">
        <f>IF(E828="","",IFERROR(INDEX(Referensi!$C$5:$C$60,MATCH(E828,Referensi!$A$5:$A$60,0)),"?"))</f>
        <v/>
      </c>
      <c r="G828" s="38" t="n"/>
      <c r="H828" s="59" t="n"/>
      <c r="I828" s="38" t="n"/>
      <c r="J828" s="39" t="n"/>
      <c r="K828" s="60">
        <f>IF(J828="","",SUMIFS(J$5:J828,D$5:D828,"Masuk")-SUMIFS(J$5:J828,D$5:D828,"Keluar"))</f>
        <v/>
      </c>
      <c r="L828" s="38" t="n"/>
      <c r="M828" s="38" t="n"/>
      <c r="N828" s="57">
        <f>IF(E828="","",IFERROR(IF(INDEX(Referensi!$B$5:$B$60,MATCH(E828,Referensi!$A$5:$A$60,0))=D828,"OK","Jenis tidak cocok"),"Kategori tidak dikenal"))</f>
        <v/>
      </c>
    </row>
    <row r="829" ht="15" customHeight="1" s="33">
      <c r="A829" s="57">
        <f>IF(B829="","",ROW()-4)</f>
        <v/>
      </c>
      <c r="B829" s="58" t="n"/>
      <c r="C829" s="38" t="n"/>
      <c r="D829" s="38" t="n"/>
      <c r="E829" s="38" t="n"/>
      <c r="F829" s="57">
        <f>IF(E829="","",IFERROR(INDEX(Referensi!$C$5:$C$60,MATCH(E829,Referensi!$A$5:$A$60,0)),"?"))</f>
        <v/>
      </c>
      <c r="G829" s="38" t="n"/>
      <c r="H829" s="59" t="n"/>
      <c r="I829" s="38" t="n"/>
      <c r="J829" s="39" t="n"/>
      <c r="K829" s="60">
        <f>IF(J829="","",SUMIFS(J$5:J829,D$5:D829,"Masuk")-SUMIFS(J$5:J829,D$5:D829,"Keluar"))</f>
        <v/>
      </c>
      <c r="L829" s="38" t="n"/>
      <c r="M829" s="38" t="n"/>
      <c r="N829" s="57">
        <f>IF(E829="","",IFERROR(IF(INDEX(Referensi!$B$5:$B$60,MATCH(E829,Referensi!$A$5:$A$60,0))=D829,"OK","Jenis tidak cocok"),"Kategori tidak dikenal"))</f>
        <v/>
      </c>
    </row>
    <row r="830" ht="15" customHeight="1" s="33">
      <c r="A830" s="57">
        <f>IF(B830="","",ROW()-4)</f>
        <v/>
      </c>
      <c r="B830" s="58" t="n"/>
      <c r="C830" s="38" t="n"/>
      <c r="D830" s="38" t="n"/>
      <c r="E830" s="38" t="n"/>
      <c r="F830" s="57">
        <f>IF(E830="","",IFERROR(INDEX(Referensi!$C$5:$C$60,MATCH(E830,Referensi!$A$5:$A$60,0)),"?"))</f>
        <v/>
      </c>
      <c r="G830" s="38" t="n"/>
      <c r="H830" s="59" t="n"/>
      <c r="I830" s="38" t="n"/>
      <c r="J830" s="39" t="n"/>
      <c r="K830" s="60">
        <f>IF(J830="","",SUMIFS(J$5:J830,D$5:D830,"Masuk")-SUMIFS(J$5:J830,D$5:D830,"Keluar"))</f>
        <v/>
      </c>
      <c r="L830" s="38" t="n"/>
      <c r="M830" s="38" t="n"/>
      <c r="N830" s="57">
        <f>IF(E830="","",IFERROR(IF(INDEX(Referensi!$B$5:$B$60,MATCH(E830,Referensi!$A$5:$A$60,0))=D830,"OK","Jenis tidak cocok"),"Kategori tidak dikenal"))</f>
        <v/>
      </c>
    </row>
    <row r="831" ht="15" customHeight="1" s="33">
      <c r="A831" s="57">
        <f>IF(B831="","",ROW()-4)</f>
        <v/>
      </c>
      <c r="B831" s="58" t="n"/>
      <c r="C831" s="38" t="n"/>
      <c r="D831" s="38" t="n"/>
      <c r="E831" s="38" t="n"/>
      <c r="F831" s="57">
        <f>IF(E831="","",IFERROR(INDEX(Referensi!$C$5:$C$60,MATCH(E831,Referensi!$A$5:$A$60,0)),"?"))</f>
        <v/>
      </c>
      <c r="G831" s="38" t="n"/>
      <c r="H831" s="59" t="n"/>
      <c r="I831" s="38" t="n"/>
      <c r="J831" s="39" t="n"/>
      <c r="K831" s="60">
        <f>IF(J831="","",SUMIFS(J$5:J831,D$5:D831,"Masuk")-SUMIFS(J$5:J831,D$5:D831,"Keluar"))</f>
        <v/>
      </c>
      <c r="L831" s="38" t="n"/>
      <c r="M831" s="38" t="n"/>
      <c r="N831" s="57">
        <f>IF(E831="","",IFERROR(IF(INDEX(Referensi!$B$5:$B$60,MATCH(E831,Referensi!$A$5:$A$60,0))=D831,"OK","Jenis tidak cocok"),"Kategori tidak dikenal"))</f>
        <v/>
      </c>
    </row>
    <row r="832" ht="15" customHeight="1" s="33">
      <c r="A832" s="57">
        <f>IF(B832="","",ROW()-4)</f>
        <v/>
      </c>
      <c r="B832" s="58" t="n"/>
      <c r="C832" s="38" t="n"/>
      <c r="D832" s="38" t="n"/>
      <c r="E832" s="38" t="n"/>
      <c r="F832" s="57">
        <f>IF(E832="","",IFERROR(INDEX(Referensi!$C$5:$C$60,MATCH(E832,Referensi!$A$5:$A$60,0)),"?"))</f>
        <v/>
      </c>
      <c r="G832" s="38" t="n"/>
      <c r="H832" s="59" t="n"/>
      <c r="I832" s="38" t="n"/>
      <c r="J832" s="39" t="n"/>
      <c r="K832" s="60">
        <f>IF(J832="","",SUMIFS(J$5:J832,D$5:D832,"Masuk")-SUMIFS(J$5:J832,D$5:D832,"Keluar"))</f>
        <v/>
      </c>
      <c r="L832" s="38" t="n"/>
      <c r="M832" s="38" t="n"/>
      <c r="N832" s="57">
        <f>IF(E832="","",IFERROR(IF(INDEX(Referensi!$B$5:$B$60,MATCH(E832,Referensi!$A$5:$A$60,0))=D832,"OK","Jenis tidak cocok"),"Kategori tidak dikenal"))</f>
        <v/>
      </c>
    </row>
    <row r="833" ht="15" customHeight="1" s="33">
      <c r="A833" s="57">
        <f>IF(B833="","",ROW()-4)</f>
        <v/>
      </c>
      <c r="B833" s="58" t="n"/>
      <c r="C833" s="38" t="n"/>
      <c r="D833" s="38" t="n"/>
      <c r="E833" s="38" t="n"/>
      <c r="F833" s="57">
        <f>IF(E833="","",IFERROR(INDEX(Referensi!$C$5:$C$60,MATCH(E833,Referensi!$A$5:$A$60,0)),"?"))</f>
        <v/>
      </c>
      <c r="G833" s="38" t="n"/>
      <c r="H833" s="59" t="n"/>
      <c r="I833" s="38" t="n"/>
      <c r="J833" s="39" t="n"/>
      <c r="K833" s="60">
        <f>IF(J833="","",SUMIFS(J$5:J833,D$5:D833,"Masuk")-SUMIFS(J$5:J833,D$5:D833,"Keluar"))</f>
        <v/>
      </c>
      <c r="L833" s="38" t="n"/>
      <c r="M833" s="38" t="n"/>
      <c r="N833" s="57">
        <f>IF(E833="","",IFERROR(IF(INDEX(Referensi!$B$5:$B$60,MATCH(E833,Referensi!$A$5:$A$60,0))=D833,"OK","Jenis tidak cocok"),"Kategori tidak dikenal"))</f>
        <v/>
      </c>
    </row>
    <row r="834" ht="15" customHeight="1" s="33">
      <c r="A834" s="57">
        <f>IF(B834="","",ROW()-4)</f>
        <v/>
      </c>
      <c r="B834" s="58" t="n"/>
      <c r="C834" s="38" t="n"/>
      <c r="D834" s="38" t="n"/>
      <c r="E834" s="38" t="n"/>
      <c r="F834" s="57">
        <f>IF(E834="","",IFERROR(INDEX(Referensi!$C$5:$C$60,MATCH(E834,Referensi!$A$5:$A$60,0)),"?"))</f>
        <v/>
      </c>
      <c r="G834" s="38" t="n"/>
      <c r="H834" s="59" t="n"/>
      <c r="I834" s="38" t="n"/>
      <c r="J834" s="39" t="n"/>
      <c r="K834" s="60">
        <f>IF(J834="","",SUMIFS(J$5:J834,D$5:D834,"Masuk")-SUMIFS(J$5:J834,D$5:D834,"Keluar"))</f>
        <v/>
      </c>
      <c r="L834" s="38" t="n"/>
      <c r="M834" s="38" t="n"/>
      <c r="N834" s="57">
        <f>IF(E834="","",IFERROR(IF(INDEX(Referensi!$B$5:$B$60,MATCH(E834,Referensi!$A$5:$A$60,0))=D834,"OK","Jenis tidak cocok"),"Kategori tidak dikenal"))</f>
        <v/>
      </c>
    </row>
    <row r="835" ht="15" customHeight="1" s="33">
      <c r="A835" s="57">
        <f>IF(B835="","",ROW()-4)</f>
        <v/>
      </c>
      <c r="B835" s="58" t="n"/>
      <c r="C835" s="38" t="n"/>
      <c r="D835" s="38" t="n"/>
      <c r="E835" s="38" t="n"/>
      <c r="F835" s="57">
        <f>IF(E835="","",IFERROR(INDEX(Referensi!$C$5:$C$60,MATCH(E835,Referensi!$A$5:$A$60,0)),"?"))</f>
        <v/>
      </c>
      <c r="G835" s="38" t="n"/>
      <c r="H835" s="59" t="n"/>
      <c r="I835" s="38" t="n"/>
      <c r="J835" s="39" t="n"/>
      <c r="K835" s="60">
        <f>IF(J835="","",SUMIFS(J$5:J835,D$5:D835,"Masuk")-SUMIFS(J$5:J835,D$5:D835,"Keluar"))</f>
        <v/>
      </c>
      <c r="L835" s="38" t="n"/>
      <c r="M835" s="38" t="n"/>
      <c r="N835" s="57">
        <f>IF(E835="","",IFERROR(IF(INDEX(Referensi!$B$5:$B$60,MATCH(E835,Referensi!$A$5:$A$60,0))=D835,"OK","Jenis tidak cocok"),"Kategori tidak dikenal"))</f>
        <v/>
      </c>
    </row>
    <row r="836" ht="15" customHeight="1" s="33">
      <c r="A836" s="57">
        <f>IF(B836="","",ROW()-4)</f>
        <v/>
      </c>
      <c r="B836" s="58" t="n"/>
      <c r="C836" s="38" t="n"/>
      <c r="D836" s="38" t="n"/>
      <c r="E836" s="38" t="n"/>
      <c r="F836" s="57">
        <f>IF(E836="","",IFERROR(INDEX(Referensi!$C$5:$C$60,MATCH(E836,Referensi!$A$5:$A$60,0)),"?"))</f>
        <v/>
      </c>
      <c r="G836" s="38" t="n"/>
      <c r="H836" s="59" t="n"/>
      <c r="I836" s="38" t="n"/>
      <c r="J836" s="39" t="n"/>
      <c r="K836" s="60">
        <f>IF(J836="","",SUMIFS(J$5:J836,D$5:D836,"Masuk")-SUMIFS(J$5:J836,D$5:D836,"Keluar"))</f>
        <v/>
      </c>
      <c r="L836" s="38" t="n"/>
      <c r="M836" s="38" t="n"/>
      <c r="N836" s="57">
        <f>IF(E836="","",IFERROR(IF(INDEX(Referensi!$B$5:$B$60,MATCH(E836,Referensi!$A$5:$A$60,0))=D836,"OK","Jenis tidak cocok"),"Kategori tidak dikenal"))</f>
        <v/>
      </c>
    </row>
    <row r="837" ht="15" customHeight="1" s="33">
      <c r="A837" s="57">
        <f>IF(B837="","",ROW()-4)</f>
        <v/>
      </c>
      <c r="B837" s="58" t="n"/>
      <c r="C837" s="38" t="n"/>
      <c r="D837" s="38" t="n"/>
      <c r="E837" s="38" t="n"/>
      <c r="F837" s="57">
        <f>IF(E837="","",IFERROR(INDEX(Referensi!$C$5:$C$60,MATCH(E837,Referensi!$A$5:$A$60,0)),"?"))</f>
        <v/>
      </c>
      <c r="G837" s="38" t="n"/>
      <c r="H837" s="59" t="n"/>
      <c r="I837" s="38" t="n"/>
      <c r="J837" s="39" t="n"/>
      <c r="K837" s="60">
        <f>IF(J837="","",SUMIFS(J$5:J837,D$5:D837,"Masuk")-SUMIFS(J$5:J837,D$5:D837,"Keluar"))</f>
        <v/>
      </c>
      <c r="L837" s="38" t="n"/>
      <c r="M837" s="38" t="n"/>
      <c r="N837" s="57">
        <f>IF(E837="","",IFERROR(IF(INDEX(Referensi!$B$5:$B$60,MATCH(E837,Referensi!$A$5:$A$60,0))=D837,"OK","Jenis tidak cocok"),"Kategori tidak dikenal"))</f>
        <v/>
      </c>
    </row>
    <row r="838" ht="15" customHeight="1" s="33">
      <c r="A838" s="57">
        <f>IF(B838="","",ROW()-4)</f>
        <v/>
      </c>
      <c r="B838" s="58" t="n"/>
      <c r="C838" s="38" t="n"/>
      <c r="D838" s="38" t="n"/>
      <c r="E838" s="38" t="n"/>
      <c r="F838" s="57">
        <f>IF(E838="","",IFERROR(INDEX(Referensi!$C$5:$C$60,MATCH(E838,Referensi!$A$5:$A$60,0)),"?"))</f>
        <v/>
      </c>
      <c r="G838" s="38" t="n"/>
      <c r="H838" s="59" t="n"/>
      <c r="I838" s="38" t="n"/>
      <c r="J838" s="39" t="n"/>
      <c r="K838" s="60">
        <f>IF(J838="","",SUMIFS(J$5:J838,D$5:D838,"Masuk")-SUMIFS(J$5:J838,D$5:D838,"Keluar"))</f>
        <v/>
      </c>
      <c r="L838" s="38" t="n"/>
      <c r="M838" s="38" t="n"/>
      <c r="N838" s="57">
        <f>IF(E838="","",IFERROR(IF(INDEX(Referensi!$B$5:$B$60,MATCH(E838,Referensi!$A$5:$A$60,0))=D838,"OK","Jenis tidak cocok"),"Kategori tidak dikenal"))</f>
        <v/>
      </c>
    </row>
    <row r="839" ht="15" customHeight="1" s="33">
      <c r="A839" s="57">
        <f>IF(B839="","",ROW()-4)</f>
        <v/>
      </c>
      <c r="B839" s="58" t="n"/>
      <c r="C839" s="38" t="n"/>
      <c r="D839" s="38" t="n"/>
      <c r="E839" s="38" t="n"/>
      <c r="F839" s="57">
        <f>IF(E839="","",IFERROR(INDEX(Referensi!$C$5:$C$60,MATCH(E839,Referensi!$A$5:$A$60,0)),"?"))</f>
        <v/>
      </c>
      <c r="G839" s="38" t="n"/>
      <c r="H839" s="59" t="n"/>
      <c r="I839" s="38" t="n"/>
      <c r="J839" s="39" t="n"/>
      <c r="K839" s="60">
        <f>IF(J839="","",SUMIFS(J$5:J839,D$5:D839,"Masuk")-SUMIFS(J$5:J839,D$5:D839,"Keluar"))</f>
        <v/>
      </c>
      <c r="L839" s="38" t="n"/>
      <c r="M839" s="38" t="n"/>
      <c r="N839" s="57">
        <f>IF(E839="","",IFERROR(IF(INDEX(Referensi!$B$5:$B$60,MATCH(E839,Referensi!$A$5:$A$60,0))=D839,"OK","Jenis tidak cocok"),"Kategori tidak dikenal"))</f>
        <v/>
      </c>
    </row>
    <row r="840" ht="15" customHeight="1" s="33">
      <c r="A840" s="57">
        <f>IF(B840="","",ROW()-4)</f>
        <v/>
      </c>
      <c r="B840" s="58" t="n"/>
      <c r="C840" s="38" t="n"/>
      <c r="D840" s="38" t="n"/>
      <c r="E840" s="38" t="n"/>
      <c r="F840" s="57">
        <f>IF(E840="","",IFERROR(INDEX(Referensi!$C$5:$C$60,MATCH(E840,Referensi!$A$5:$A$60,0)),"?"))</f>
        <v/>
      </c>
      <c r="G840" s="38" t="n"/>
      <c r="H840" s="59" t="n"/>
      <c r="I840" s="38" t="n"/>
      <c r="J840" s="39" t="n"/>
      <c r="K840" s="60">
        <f>IF(J840="","",SUMIFS(J$5:J840,D$5:D840,"Masuk")-SUMIFS(J$5:J840,D$5:D840,"Keluar"))</f>
        <v/>
      </c>
      <c r="L840" s="38" t="n"/>
      <c r="M840" s="38" t="n"/>
      <c r="N840" s="57">
        <f>IF(E840="","",IFERROR(IF(INDEX(Referensi!$B$5:$B$60,MATCH(E840,Referensi!$A$5:$A$60,0))=D840,"OK","Jenis tidak cocok"),"Kategori tidak dikenal"))</f>
        <v/>
      </c>
    </row>
    <row r="841" ht="15" customHeight="1" s="33">
      <c r="A841" s="57">
        <f>IF(B841="","",ROW()-4)</f>
        <v/>
      </c>
      <c r="B841" s="58" t="n"/>
      <c r="C841" s="38" t="n"/>
      <c r="D841" s="38" t="n"/>
      <c r="E841" s="38" t="n"/>
      <c r="F841" s="57">
        <f>IF(E841="","",IFERROR(INDEX(Referensi!$C$5:$C$60,MATCH(E841,Referensi!$A$5:$A$60,0)),"?"))</f>
        <v/>
      </c>
      <c r="G841" s="38" t="n"/>
      <c r="H841" s="59" t="n"/>
      <c r="I841" s="38" t="n"/>
      <c r="J841" s="39" t="n"/>
      <c r="K841" s="60">
        <f>IF(J841="","",SUMIFS(J$5:J841,D$5:D841,"Masuk")-SUMIFS(J$5:J841,D$5:D841,"Keluar"))</f>
        <v/>
      </c>
      <c r="L841" s="38" t="n"/>
      <c r="M841" s="38" t="n"/>
      <c r="N841" s="57">
        <f>IF(E841="","",IFERROR(IF(INDEX(Referensi!$B$5:$B$60,MATCH(E841,Referensi!$A$5:$A$60,0))=D841,"OK","Jenis tidak cocok"),"Kategori tidak dikenal"))</f>
        <v/>
      </c>
    </row>
    <row r="842" ht="15" customHeight="1" s="33">
      <c r="A842" s="57">
        <f>IF(B842="","",ROW()-4)</f>
        <v/>
      </c>
      <c r="B842" s="58" t="n"/>
      <c r="C842" s="38" t="n"/>
      <c r="D842" s="38" t="n"/>
      <c r="E842" s="38" t="n"/>
      <c r="F842" s="57">
        <f>IF(E842="","",IFERROR(INDEX(Referensi!$C$5:$C$60,MATCH(E842,Referensi!$A$5:$A$60,0)),"?"))</f>
        <v/>
      </c>
      <c r="G842" s="38" t="n"/>
      <c r="H842" s="59" t="n"/>
      <c r="I842" s="38" t="n"/>
      <c r="J842" s="39" t="n"/>
      <c r="K842" s="60">
        <f>IF(J842="","",SUMIFS(J$5:J842,D$5:D842,"Masuk")-SUMIFS(J$5:J842,D$5:D842,"Keluar"))</f>
        <v/>
      </c>
      <c r="L842" s="38" t="n"/>
      <c r="M842" s="38" t="n"/>
      <c r="N842" s="57">
        <f>IF(E842="","",IFERROR(IF(INDEX(Referensi!$B$5:$B$60,MATCH(E842,Referensi!$A$5:$A$60,0))=D842,"OK","Jenis tidak cocok"),"Kategori tidak dikenal"))</f>
        <v/>
      </c>
    </row>
    <row r="843" ht="15" customHeight="1" s="33">
      <c r="A843" s="57">
        <f>IF(B843="","",ROW()-4)</f>
        <v/>
      </c>
      <c r="B843" s="58" t="n"/>
      <c r="C843" s="38" t="n"/>
      <c r="D843" s="38" t="n"/>
      <c r="E843" s="38" t="n"/>
      <c r="F843" s="57">
        <f>IF(E843="","",IFERROR(INDEX(Referensi!$C$5:$C$60,MATCH(E843,Referensi!$A$5:$A$60,0)),"?"))</f>
        <v/>
      </c>
      <c r="G843" s="38" t="n"/>
      <c r="H843" s="59" t="n"/>
      <c r="I843" s="38" t="n"/>
      <c r="J843" s="39" t="n"/>
      <c r="K843" s="60">
        <f>IF(J843="","",SUMIFS(J$5:J843,D$5:D843,"Masuk")-SUMIFS(J$5:J843,D$5:D843,"Keluar"))</f>
        <v/>
      </c>
      <c r="L843" s="38" t="n"/>
      <c r="M843" s="38" t="n"/>
      <c r="N843" s="57">
        <f>IF(E843="","",IFERROR(IF(INDEX(Referensi!$B$5:$B$60,MATCH(E843,Referensi!$A$5:$A$60,0))=D843,"OK","Jenis tidak cocok"),"Kategori tidak dikenal"))</f>
        <v/>
      </c>
    </row>
    <row r="844" ht="15" customHeight="1" s="33">
      <c r="A844" s="57">
        <f>IF(B844="","",ROW()-4)</f>
        <v/>
      </c>
      <c r="B844" s="58" t="n"/>
      <c r="C844" s="38" t="n"/>
      <c r="D844" s="38" t="n"/>
      <c r="E844" s="38" t="n"/>
      <c r="F844" s="57">
        <f>IF(E844="","",IFERROR(INDEX(Referensi!$C$5:$C$60,MATCH(E844,Referensi!$A$5:$A$60,0)),"?"))</f>
        <v/>
      </c>
      <c r="G844" s="38" t="n"/>
      <c r="H844" s="59" t="n"/>
      <c r="I844" s="38" t="n"/>
      <c r="J844" s="39" t="n"/>
      <c r="K844" s="60">
        <f>IF(J844="","",SUMIFS(J$5:J844,D$5:D844,"Masuk")-SUMIFS(J$5:J844,D$5:D844,"Keluar"))</f>
        <v/>
      </c>
      <c r="L844" s="38" t="n"/>
      <c r="M844" s="38" t="n"/>
      <c r="N844" s="57">
        <f>IF(E844="","",IFERROR(IF(INDEX(Referensi!$B$5:$B$60,MATCH(E844,Referensi!$A$5:$A$60,0))=D844,"OK","Jenis tidak cocok"),"Kategori tidak dikenal"))</f>
        <v/>
      </c>
    </row>
    <row r="845" ht="15" customHeight="1" s="33">
      <c r="A845" s="57">
        <f>IF(B845="","",ROW()-4)</f>
        <v/>
      </c>
      <c r="B845" s="58" t="n"/>
      <c r="C845" s="38" t="n"/>
      <c r="D845" s="38" t="n"/>
      <c r="E845" s="38" t="n"/>
      <c r="F845" s="57">
        <f>IF(E845="","",IFERROR(INDEX(Referensi!$C$5:$C$60,MATCH(E845,Referensi!$A$5:$A$60,0)),"?"))</f>
        <v/>
      </c>
      <c r="G845" s="38" t="n"/>
      <c r="H845" s="59" t="n"/>
      <c r="I845" s="38" t="n"/>
      <c r="J845" s="39" t="n"/>
      <c r="K845" s="60">
        <f>IF(J845="","",SUMIFS(J$5:J845,D$5:D845,"Masuk")-SUMIFS(J$5:J845,D$5:D845,"Keluar"))</f>
        <v/>
      </c>
      <c r="L845" s="38" t="n"/>
      <c r="M845" s="38" t="n"/>
      <c r="N845" s="57">
        <f>IF(E845="","",IFERROR(IF(INDEX(Referensi!$B$5:$B$60,MATCH(E845,Referensi!$A$5:$A$60,0))=D845,"OK","Jenis tidak cocok"),"Kategori tidak dikenal"))</f>
        <v/>
      </c>
    </row>
    <row r="846" ht="15" customHeight="1" s="33">
      <c r="A846" s="57">
        <f>IF(B846="","",ROW()-4)</f>
        <v/>
      </c>
      <c r="B846" s="58" t="n"/>
      <c r="C846" s="38" t="n"/>
      <c r="D846" s="38" t="n"/>
      <c r="E846" s="38" t="n"/>
      <c r="F846" s="57">
        <f>IF(E846="","",IFERROR(INDEX(Referensi!$C$5:$C$60,MATCH(E846,Referensi!$A$5:$A$60,0)),"?"))</f>
        <v/>
      </c>
      <c r="G846" s="38" t="n"/>
      <c r="H846" s="59" t="n"/>
      <c r="I846" s="38" t="n"/>
      <c r="J846" s="39" t="n"/>
      <c r="K846" s="60">
        <f>IF(J846="","",SUMIFS(J$5:J846,D$5:D846,"Masuk")-SUMIFS(J$5:J846,D$5:D846,"Keluar"))</f>
        <v/>
      </c>
      <c r="L846" s="38" t="n"/>
      <c r="M846" s="38" t="n"/>
      <c r="N846" s="57">
        <f>IF(E846="","",IFERROR(IF(INDEX(Referensi!$B$5:$B$60,MATCH(E846,Referensi!$A$5:$A$60,0))=D846,"OK","Jenis tidak cocok"),"Kategori tidak dikenal"))</f>
        <v/>
      </c>
    </row>
    <row r="847" ht="15" customHeight="1" s="33">
      <c r="A847" s="57">
        <f>IF(B847="","",ROW()-4)</f>
        <v/>
      </c>
      <c r="B847" s="58" t="n"/>
      <c r="C847" s="38" t="n"/>
      <c r="D847" s="38" t="n"/>
      <c r="E847" s="38" t="n"/>
      <c r="F847" s="57">
        <f>IF(E847="","",IFERROR(INDEX(Referensi!$C$5:$C$60,MATCH(E847,Referensi!$A$5:$A$60,0)),"?"))</f>
        <v/>
      </c>
      <c r="G847" s="38" t="n"/>
      <c r="H847" s="59" t="n"/>
      <c r="I847" s="38" t="n"/>
      <c r="J847" s="39" t="n"/>
      <c r="K847" s="60">
        <f>IF(J847="","",SUMIFS(J$5:J847,D$5:D847,"Masuk")-SUMIFS(J$5:J847,D$5:D847,"Keluar"))</f>
        <v/>
      </c>
      <c r="L847" s="38" t="n"/>
      <c r="M847" s="38" t="n"/>
      <c r="N847" s="57">
        <f>IF(E847="","",IFERROR(IF(INDEX(Referensi!$B$5:$B$60,MATCH(E847,Referensi!$A$5:$A$60,0))=D847,"OK","Jenis tidak cocok"),"Kategori tidak dikenal"))</f>
        <v/>
      </c>
    </row>
    <row r="848" ht="15" customHeight="1" s="33">
      <c r="A848" s="57">
        <f>IF(B848="","",ROW()-4)</f>
        <v/>
      </c>
      <c r="B848" s="58" t="n"/>
      <c r="C848" s="38" t="n"/>
      <c r="D848" s="38" t="n"/>
      <c r="E848" s="38" t="n"/>
      <c r="F848" s="57">
        <f>IF(E848="","",IFERROR(INDEX(Referensi!$C$5:$C$60,MATCH(E848,Referensi!$A$5:$A$60,0)),"?"))</f>
        <v/>
      </c>
      <c r="G848" s="38" t="n"/>
      <c r="H848" s="59" t="n"/>
      <c r="I848" s="38" t="n"/>
      <c r="J848" s="39" t="n"/>
      <c r="K848" s="60">
        <f>IF(J848="","",SUMIFS(J$5:J848,D$5:D848,"Masuk")-SUMIFS(J$5:J848,D$5:D848,"Keluar"))</f>
        <v/>
      </c>
      <c r="L848" s="38" t="n"/>
      <c r="M848" s="38" t="n"/>
      <c r="N848" s="57">
        <f>IF(E848="","",IFERROR(IF(INDEX(Referensi!$B$5:$B$60,MATCH(E848,Referensi!$A$5:$A$60,0))=D848,"OK","Jenis tidak cocok"),"Kategori tidak dikenal"))</f>
        <v/>
      </c>
    </row>
    <row r="849" ht="15" customHeight="1" s="33">
      <c r="A849" s="57">
        <f>IF(B849="","",ROW()-4)</f>
        <v/>
      </c>
      <c r="B849" s="58" t="n"/>
      <c r="C849" s="38" t="n"/>
      <c r="D849" s="38" t="n"/>
      <c r="E849" s="38" t="n"/>
      <c r="F849" s="57">
        <f>IF(E849="","",IFERROR(INDEX(Referensi!$C$5:$C$60,MATCH(E849,Referensi!$A$5:$A$60,0)),"?"))</f>
        <v/>
      </c>
      <c r="G849" s="38" t="n"/>
      <c r="H849" s="59" t="n"/>
      <c r="I849" s="38" t="n"/>
      <c r="J849" s="39" t="n"/>
      <c r="K849" s="60">
        <f>IF(J849="","",SUMIFS(J$5:J849,D$5:D849,"Masuk")-SUMIFS(J$5:J849,D$5:D849,"Keluar"))</f>
        <v/>
      </c>
      <c r="L849" s="38" t="n"/>
      <c r="M849" s="38" t="n"/>
      <c r="N849" s="57">
        <f>IF(E849="","",IFERROR(IF(INDEX(Referensi!$B$5:$B$60,MATCH(E849,Referensi!$A$5:$A$60,0))=D849,"OK","Jenis tidak cocok"),"Kategori tidak dikenal"))</f>
        <v/>
      </c>
    </row>
    <row r="850" ht="15" customHeight="1" s="33">
      <c r="A850" s="57">
        <f>IF(B850="","",ROW()-4)</f>
        <v/>
      </c>
      <c r="B850" s="58" t="n"/>
      <c r="C850" s="38" t="n"/>
      <c r="D850" s="38" t="n"/>
      <c r="E850" s="38" t="n"/>
      <c r="F850" s="57">
        <f>IF(E850="","",IFERROR(INDEX(Referensi!$C$5:$C$60,MATCH(E850,Referensi!$A$5:$A$60,0)),"?"))</f>
        <v/>
      </c>
      <c r="G850" s="38" t="n"/>
      <c r="H850" s="59" t="n"/>
      <c r="I850" s="38" t="n"/>
      <c r="J850" s="39" t="n"/>
      <c r="K850" s="60">
        <f>IF(J850="","",SUMIFS(J$5:J850,D$5:D850,"Masuk")-SUMIFS(J$5:J850,D$5:D850,"Keluar"))</f>
        <v/>
      </c>
      <c r="L850" s="38" t="n"/>
      <c r="M850" s="38" t="n"/>
      <c r="N850" s="57">
        <f>IF(E850="","",IFERROR(IF(INDEX(Referensi!$B$5:$B$60,MATCH(E850,Referensi!$A$5:$A$60,0))=D850,"OK","Jenis tidak cocok"),"Kategori tidak dikenal"))</f>
        <v/>
      </c>
    </row>
    <row r="851" ht="15" customHeight="1" s="33">
      <c r="A851" s="57">
        <f>IF(B851="","",ROW()-4)</f>
        <v/>
      </c>
      <c r="B851" s="58" t="n"/>
      <c r="C851" s="38" t="n"/>
      <c r="D851" s="38" t="n"/>
      <c r="E851" s="38" t="n"/>
      <c r="F851" s="57">
        <f>IF(E851="","",IFERROR(INDEX(Referensi!$C$5:$C$60,MATCH(E851,Referensi!$A$5:$A$60,0)),"?"))</f>
        <v/>
      </c>
      <c r="G851" s="38" t="n"/>
      <c r="H851" s="59" t="n"/>
      <c r="I851" s="38" t="n"/>
      <c r="J851" s="39" t="n"/>
      <c r="K851" s="60">
        <f>IF(J851="","",SUMIFS(J$5:J851,D$5:D851,"Masuk")-SUMIFS(J$5:J851,D$5:D851,"Keluar"))</f>
        <v/>
      </c>
      <c r="L851" s="38" t="n"/>
      <c r="M851" s="38" t="n"/>
      <c r="N851" s="57">
        <f>IF(E851="","",IFERROR(IF(INDEX(Referensi!$B$5:$B$60,MATCH(E851,Referensi!$A$5:$A$60,0))=D851,"OK","Jenis tidak cocok"),"Kategori tidak dikenal"))</f>
        <v/>
      </c>
    </row>
    <row r="852" ht="15" customHeight="1" s="33">
      <c r="A852" s="57">
        <f>IF(B852="","",ROW()-4)</f>
        <v/>
      </c>
      <c r="B852" s="58" t="n"/>
      <c r="C852" s="38" t="n"/>
      <c r="D852" s="38" t="n"/>
      <c r="E852" s="38" t="n"/>
      <c r="F852" s="57">
        <f>IF(E852="","",IFERROR(INDEX(Referensi!$C$5:$C$60,MATCH(E852,Referensi!$A$5:$A$60,0)),"?"))</f>
        <v/>
      </c>
      <c r="G852" s="38" t="n"/>
      <c r="H852" s="59" t="n"/>
      <c r="I852" s="38" t="n"/>
      <c r="J852" s="39" t="n"/>
      <c r="K852" s="60">
        <f>IF(J852="","",SUMIFS(J$5:J852,D$5:D852,"Masuk")-SUMIFS(J$5:J852,D$5:D852,"Keluar"))</f>
        <v/>
      </c>
      <c r="L852" s="38" t="n"/>
      <c r="M852" s="38" t="n"/>
      <c r="N852" s="57">
        <f>IF(E852="","",IFERROR(IF(INDEX(Referensi!$B$5:$B$60,MATCH(E852,Referensi!$A$5:$A$60,0))=D852,"OK","Jenis tidak cocok"),"Kategori tidak dikenal"))</f>
        <v/>
      </c>
    </row>
    <row r="853" ht="15" customHeight="1" s="33">
      <c r="A853" s="57">
        <f>IF(B853="","",ROW()-4)</f>
        <v/>
      </c>
      <c r="B853" s="58" t="n"/>
      <c r="C853" s="38" t="n"/>
      <c r="D853" s="38" t="n"/>
      <c r="E853" s="38" t="n"/>
      <c r="F853" s="57">
        <f>IF(E853="","",IFERROR(INDEX(Referensi!$C$5:$C$60,MATCH(E853,Referensi!$A$5:$A$60,0)),"?"))</f>
        <v/>
      </c>
      <c r="G853" s="38" t="n"/>
      <c r="H853" s="59" t="n"/>
      <c r="I853" s="38" t="n"/>
      <c r="J853" s="39" t="n"/>
      <c r="K853" s="60">
        <f>IF(J853="","",SUMIFS(J$5:J853,D$5:D853,"Masuk")-SUMIFS(J$5:J853,D$5:D853,"Keluar"))</f>
        <v/>
      </c>
      <c r="L853" s="38" t="n"/>
      <c r="M853" s="38" t="n"/>
      <c r="N853" s="57">
        <f>IF(E853="","",IFERROR(IF(INDEX(Referensi!$B$5:$B$60,MATCH(E853,Referensi!$A$5:$A$60,0))=D853,"OK","Jenis tidak cocok"),"Kategori tidak dikenal"))</f>
        <v/>
      </c>
    </row>
    <row r="854" ht="15" customHeight="1" s="33">
      <c r="A854" s="57">
        <f>IF(B854="","",ROW()-4)</f>
        <v/>
      </c>
      <c r="B854" s="58" t="n"/>
      <c r="C854" s="38" t="n"/>
      <c r="D854" s="38" t="n"/>
      <c r="E854" s="38" t="n"/>
      <c r="F854" s="57">
        <f>IF(E854="","",IFERROR(INDEX(Referensi!$C$5:$C$60,MATCH(E854,Referensi!$A$5:$A$60,0)),"?"))</f>
        <v/>
      </c>
      <c r="G854" s="38" t="n"/>
      <c r="H854" s="59" t="n"/>
      <c r="I854" s="38" t="n"/>
      <c r="J854" s="39" t="n"/>
      <c r="K854" s="60">
        <f>IF(J854="","",SUMIFS(J$5:J854,D$5:D854,"Masuk")-SUMIFS(J$5:J854,D$5:D854,"Keluar"))</f>
        <v/>
      </c>
      <c r="L854" s="38" t="n"/>
      <c r="M854" s="38" t="n"/>
      <c r="N854" s="57">
        <f>IF(E854="","",IFERROR(IF(INDEX(Referensi!$B$5:$B$60,MATCH(E854,Referensi!$A$5:$A$60,0))=D854,"OK","Jenis tidak cocok"),"Kategori tidak dikenal"))</f>
        <v/>
      </c>
    </row>
    <row r="855" ht="15" customHeight="1" s="33">
      <c r="A855" s="57">
        <f>IF(B855="","",ROW()-4)</f>
        <v/>
      </c>
      <c r="B855" s="58" t="n"/>
      <c r="C855" s="38" t="n"/>
      <c r="D855" s="38" t="n"/>
      <c r="E855" s="38" t="n"/>
      <c r="F855" s="57">
        <f>IF(E855="","",IFERROR(INDEX(Referensi!$C$5:$C$60,MATCH(E855,Referensi!$A$5:$A$60,0)),"?"))</f>
        <v/>
      </c>
      <c r="G855" s="38" t="n"/>
      <c r="H855" s="59" t="n"/>
      <c r="I855" s="38" t="n"/>
      <c r="J855" s="39" t="n"/>
      <c r="K855" s="60">
        <f>IF(J855="","",SUMIFS(J$5:J855,D$5:D855,"Masuk")-SUMIFS(J$5:J855,D$5:D855,"Keluar"))</f>
        <v/>
      </c>
      <c r="L855" s="38" t="n"/>
      <c r="M855" s="38" t="n"/>
      <c r="N855" s="57">
        <f>IF(E855="","",IFERROR(IF(INDEX(Referensi!$B$5:$B$60,MATCH(E855,Referensi!$A$5:$A$60,0))=D855,"OK","Jenis tidak cocok"),"Kategori tidak dikenal"))</f>
        <v/>
      </c>
    </row>
    <row r="856" ht="15" customHeight="1" s="33">
      <c r="A856" s="57">
        <f>IF(B856="","",ROW()-4)</f>
        <v/>
      </c>
      <c r="B856" s="58" t="n"/>
      <c r="C856" s="38" t="n"/>
      <c r="D856" s="38" t="n"/>
      <c r="E856" s="38" t="n"/>
      <c r="F856" s="57">
        <f>IF(E856="","",IFERROR(INDEX(Referensi!$C$5:$C$60,MATCH(E856,Referensi!$A$5:$A$60,0)),"?"))</f>
        <v/>
      </c>
      <c r="G856" s="38" t="n"/>
      <c r="H856" s="59" t="n"/>
      <c r="I856" s="38" t="n"/>
      <c r="J856" s="39" t="n"/>
      <c r="K856" s="60">
        <f>IF(J856="","",SUMIFS(J$5:J856,D$5:D856,"Masuk")-SUMIFS(J$5:J856,D$5:D856,"Keluar"))</f>
        <v/>
      </c>
      <c r="L856" s="38" t="n"/>
      <c r="M856" s="38" t="n"/>
      <c r="N856" s="57">
        <f>IF(E856="","",IFERROR(IF(INDEX(Referensi!$B$5:$B$60,MATCH(E856,Referensi!$A$5:$A$60,0))=D856,"OK","Jenis tidak cocok"),"Kategori tidak dikenal"))</f>
        <v/>
      </c>
    </row>
    <row r="857" ht="15" customHeight="1" s="33">
      <c r="A857" s="57">
        <f>IF(B857="","",ROW()-4)</f>
        <v/>
      </c>
      <c r="B857" s="58" t="n"/>
      <c r="C857" s="38" t="n"/>
      <c r="D857" s="38" t="n"/>
      <c r="E857" s="38" t="n"/>
      <c r="F857" s="57">
        <f>IF(E857="","",IFERROR(INDEX(Referensi!$C$5:$C$60,MATCH(E857,Referensi!$A$5:$A$60,0)),"?"))</f>
        <v/>
      </c>
      <c r="G857" s="38" t="n"/>
      <c r="H857" s="59" t="n"/>
      <c r="I857" s="38" t="n"/>
      <c r="J857" s="39" t="n"/>
      <c r="K857" s="60">
        <f>IF(J857="","",SUMIFS(J$5:J857,D$5:D857,"Masuk")-SUMIFS(J$5:J857,D$5:D857,"Keluar"))</f>
        <v/>
      </c>
      <c r="L857" s="38" t="n"/>
      <c r="M857" s="38" t="n"/>
      <c r="N857" s="57">
        <f>IF(E857="","",IFERROR(IF(INDEX(Referensi!$B$5:$B$60,MATCH(E857,Referensi!$A$5:$A$60,0))=D857,"OK","Jenis tidak cocok"),"Kategori tidak dikenal"))</f>
        <v/>
      </c>
    </row>
    <row r="858" ht="15" customHeight="1" s="33">
      <c r="A858" s="57">
        <f>IF(B858="","",ROW()-4)</f>
        <v/>
      </c>
      <c r="B858" s="58" t="n"/>
      <c r="C858" s="38" t="n"/>
      <c r="D858" s="38" t="n"/>
      <c r="E858" s="38" t="n"/>
      <c r="F858" s="57">
        <f>IF(E858="","",IFERROR(INDEX(Referensi!$C$5:$C$60,MATCH(E858,Referensi!$A$5:$A$60,0)),"?"))</f>
        <v/>
      </c>
      <c r="G858" s="38" t="n"/>
      <c r="H858" s="59" t="n"/>
      <c r="I858" s="38" t="n"/>
      <c r="J858" s="39" t="n"/>
      <c r="K858" s="60">
        <f>IF(J858="","",SUMIFS(J$5:J858,D$5:D858,"Masuk")-SUMIFS(J$5:J858,D$5:D858,"Keluar"))</f>
        <v/>
      </c>
      <c r="L858" s="38" t="n"/>
      <c r="M858" s="38" t="n"/>
      <c r="N858" s="57">
        <f>IF(E858="","",IFERROR(IF(INDEX(Referensi!$B$5:$B$60,MATCH(E858,Referensi!$A$5:$A$60,0))=D858,"OK","Jenis tidak cocok"),"Kategori tidak dikenal"))</f>
        <v/>
      </c>
    </row>
    <row r="859" ht="15" customHeight="1" s="33">
      <c r="A859" s="57">
        <f>IF(B859="","",ROW()-4)</f>
        <v/>
      </c>
      <c r="B859" s="58" t="n"/>
      <c r="C859" s="38" t="n"/>
      <c r="D859" s="38" t="n"/>
      <c r="E859" s="38" t="n"/>
      <c r="F859" s="57">
        <f>IF(E859="","",IFERROR(INDEX(Referensi!$C$5:$C$60,MATCH(E859,Referensi!$A$5:$A$60,0)),"?"))</f>
        <v/>
      </c>
      <c r="G859" s="38" t="n"/>
      <c r="H859" s="59" t="n"/>
      <c r="I859" s="38" t="n"/>
      <c r="J859" s="39" t="n"/>
      <c r="K859" s="60">
        <f>IF(J859="","",SUMIFS(J$5:J859,D$5:D859,"Masuk")-SUMIFS(J$5:J859,D$5:D859,"Keluar"))</f>
        <v/>
      </c>
      <c r="L859" s="38" t="n"/>
      <c r="M859" s="38" t="n"/>
      <c r="N859" s="57">
        <f>IF(E859="","",IFERROR(IF(INDEX(Referensi!$B$5:$B$60,MATCH(E859,Referensi!$A$5:$A$60,0))=D859,"OK","Jenis tidak cocok"),"Kategori tidak dikenal"))</f>
        <v/>
      </c>
    </row>
    <row r="860" ht="15" customHeight="1" s="33">
      <c r="A860" s="57">
        <f>IF(B860="","",ROW()-4)</f>
        <v/>
      </c>
      <c r="B860" s="58" t="n"/>
      <c r="C860" s="38" t="n"/>
      <c r="D860" s="38" t="n"/>
      <c r="E860" s="38" t="n"/>
      <c r="F860" s="57">
        <f>IF(E860="","",IFERROR(INDEX(Referensi!$C$5:$C$60,MATCH(E860,Referensi!$A$5:$A$60,0)),"?"))</f>
        <v/>
      </c>
      <c r="G860" s="38" t="n"/>
      <c r="H860" s="59" t="n"/>
      <c r="I860" s="38" t="n"/>
      <c r="J860" s="39" t="n"/>
      <c r="K860" s="60">
        <f>IF(J860="","",SUMIFS(J$5:J860,D$5:D860,"Masuk")-SUMIFS(J$5:J860,D$5:D860,"Keluar"))</f>
        <v/>
      </c>
      <c r="L860" s="38" t="n"/>
      <c r="M860" s="38" t="n"/>
      <c r="N860" s="57">
        <f>IF(E860="","",IFERROR(IF(INDEX(Referensi!$B$5:$B$60,MATCH(E860,Referensi!$A$5:$A$60,0))=D860,"OK","Jenis tidak cocok"),"Kategori tidak dikenal"))</f>
        <v/>
      </c>
    </row>
    <row r="861" ht="15" customHeight="1" s="33">
      <c r="A861" s="57">
        <f>IF(B861="","",ROW()-4)</f>
        <v/>
      </c>
      <c r="B861" s="58" t="n"/>
      <c r="C861" s="38" t="n"/>
      <c r="D861" s="38" t="n"/>
      <c r="E861" s="38" t="n"/>
      <c r="F861" s="57">
        <f>IF(E861="","",IFERROR(INDEX(Referensi!$C$5:$C$60,MATCH(E861,Referensi!$A$5:$A$60,0)),"?"))</f>
        <v/>
      </c>
      <c r="G861" s="38" t="n"/>
      <c r="H861" s="59" t="n"/>
      <c r="I861" s="38" t="n"/>
      <c r="J861" s="39" t="n"/>
      <c r="K861" s="60">
        <f>IF(J861="","",SUMIFS(J$5:J861,D$5:D861,"Masuk")-SUMIFS(J$5:J861,D$5:D861,"Keluar"))</f>
        <v/>
      </c>
      <c r="L861" s="38" t="n"/>
      <c r="M861" s="38" t="n"/>
      <c r="N861" s="57">
        <f>IF(E861="","",IFERROR(IF(INDEX(Referensi!$B$5:$B$60,MATCH(E861,Referensi!$A$5:$A$60,0))=D861,"OK","Jenis tidak cocok"),"Kategori tidak dikenal"))</f>
        <v/>
      </c>
    </row>
    <row r="862" ht="15" customHeight="1" s="33">
      <c r="A862" s="57">
        <f>IF(B862="","",ROW()-4)</f>
        <v/>
      </c>
      <c r="B862" s="58" t="n"/>
      <c r="C862" s="38" t="n"/>
      <c r="D862" s="38" t="n"/>
      <c r="E862" s="38" t="n"/>
      <c r="F862" s="57">
        <f>IF(E862="","",IFERROR(INDEX(Referensi!$C$5:$C$60,MATCH(E862,Referensi!$A$5:$A$60,0)),"?"))</f>
        <v/>
      </c>
      <c r="G862" s="38" t="n"/>
      <c r="H862" s="59" t="n"/>
      <c r="I862" s="38" t="n"/>
      <c r="J862" s="39" t="n"/>
      <c r="K862" s="60">
        <f>IF(J862="","",SUMIFS(J$5:J862,D$5:D862,"Masuk")-SUMIFS(J$5:J862,D$5:D862,"Keluar"))</f>
        <v/>
      </c>
      <c r="L862" s="38" t="n"/>
      <c r="M862" s="38" t="n"/>
      <c r="N862" s="57">
        <f>IF(E862="","",IFERROR(IF(INDEX(Referensi!$B$5:$B$60,MATCH(E862,Referensi!$A$5:$A$60,0))=D862,"OK","Jenis tidak cocok"),"Kategori tidak dikenal"))</f>
        <v/>
      </c>
    </row>
    <row r="863" ht="15" customHeight="1" s="33">
      <c r="A863" s="57">
        <f>IF(B863="","",ROW()-4)</f>
        <v/>
      </c>
      <c r="B863" s="58" t="n"/>
      <c r="C863" s="38" t="n"/>
      <c r="D863" s="38" t="n"/>
      <c r="E863" s="38" t="n"/>
      <c r="F863" s="57">
        <f>IF(E863="","",IFERROR(INDEX(Referensi!$C$5:$C$60,MATCH(E863,Referensi!$A$5:$A$60,0)),"?"))</f>
        <v/>
      </c>
      <c r="G863" s="38" t="n"/>
      <c r="H863" s="59" t="n"/>
      <c r="I863" s="38" t="n"/>
      <c r="J863" s="39" t="n"/>
      <c r="K863" s="60">
        <f>IF(J863="","",SUMIFS(J$5:J863,D$5:D863,"Masuk")-SUMIFS(J$5:J863,D$5:D863,"Keluar"))</f>
        <v/>
      </c>
      <c r="L863" s="38" t="n"/>
      <c r="M863" s="38" t="n"/>
      <c r="N863" s="57">
        <f>IF(E863="","",IFERROR(IF(INDEX(Referensi!$B$5:$B$60,MATCH(E863,Referensi!$A$5:$A$60,0))=D863,"OK","Jenis tidak cocok"),"Kategori tidak dikenal"))</f>
        <v/>
      </c>
    </row>
    <row r="864" ht="15" customHeight="1" s="33">
      <c r="A864" s="57">
        <f>IF(B864="","",ROW()-4)</f>
        <v/>
      </c>
      <c r="B864" s="58" t="n"/>
      <c r="C864" s="38" t="n"/>
      <c r="D864" s="38" t="n"/>
      <c r="E864" s="38" t="n"/>
      <c r="F864" s="57">
        <f>IF(E864="","",IFERROR(INDEX(Referensi!$C$5:$C$60,MATCH(E864,Referensi!$A$5:$A$60,0)),"?"))</f>
        <v/>
      </c>
      <c r="G864" s="38" t="n"/>
      <c r="H864" s="59" t="n"/>
      <c r="I864" s="38" t="n"/>
      <c r="J864" s="39" t="n"/>
      <c r="K864" s="60">
        <f>IF(J864="","",SUMIFS(J$5:J864,D$5:D864,"Masuk")-SUMIFS(J$5:J864,D$5:D864,"Keluar"))</f>
        <v/>
      </c>
      <c r="L864" s="38" t="n"/>
      <c r="M864" s="38" t="n"/>
      <c r="N864" s="57">
        <f>IF(E864="","",IFERROR(IF(INDEX(Referensi!$B$5:$B$60,MATCH(E864,Referensi!$A$5:$A$60,0))=D864,"OK","Jenis tidak cocok"),"Kategori tidak dikenal"))</f>
        <v/>
      </c>
    </row>
    <row r="865" ht="15" customHeight="1" s="33">
      <c r="A865" s="57">
        <f>IF(B865="","",ROW()-4)</f>
        <v/>
      </c>
      <c r="B865" s="58" t="n"/>
      <c r="C865" s="38" t="n"/>
      <c r="D865" s="38" t="n"/>
      <c r="E865" s="38" t="n"/>
      <c r="F865" s="57">
        <f>IF(E865="","",IFERROR(INDEX(Referensi!$C$5:$C$60,MATCH(E865,Referensi!$A$5:$A$60,0)),"?"))</f>
        <v/>
      </c>
      <c r="G865" s="38" t="n"/>
      <c r="H865" s="59" t="n"/>
      <c r="I865" s="38" t="n"/>
      <c r="J865" s="39" t="n"/>
      <c r="K865" s="60">
        <f>IF(J865="","",SUMIFS(J$5:J865,D$5:D865,"Masuk")-SUMIFS(J$5:J865,D$5:D865,"Keluar"))</f>
        <v/>
      </c>
      <c r="L865" s="38" t="n"/>
      <c r="M865" s="38" t="n"/>
      <c r="N865" s="57">
        <f>IF(E865="","",IFERROR(IF(INDEX(Referensi!$B$5:$B$60,MATCH(E865,Referensi!$A$5:$A$60,0))=D865,"OK","Jenis tidak cocok"),"Kategori tidak dikenal"))</f>
        <v/>
      </c>
    </row>
    <row r="866" ht="15" customHeight="1" s="33">
      <c r="A866" s="57">
        <f>IF(B866="","",ROW()-4)</f>
        <v/>
      </c>
      <c r="B866" s="58" t="n"/>
      <c r="C866" s="38" t="n"/>
      <c r="D866" s="38" t="n"/>
      <c r="E866" s="38" t="n"/>
      <c r="F866" s="57">
        <f>IF(E866="","",IFERROR(INDEX(Referensi!$C$5:$C$60,MATCH(E866,Referensi!$A$5:$A$60,0)),"?"))</f>
        <v/>
      </c>
      <c r="G866" s="38" t="n"/>
      <c r="H866" s="59" t="n"/>
      <c r="I866" s="38" t="n"/>
      <c r="J866" s="39" t="n"/>
      <c r="K866" s="60">
        <f>IF(J866="","",SUMIFS(J$5:J866,D$5:D866,"Masuk")-SUMIFS(J$5:J866,D$5:D866,"Keluar"))</f>
        <v/>
      </c>
      <c r="L866" s="38" t="n"/>
      <c r="M866" s="38" t="n"/>
      <c r="N866" s="57">
        <f>IF(E866="","",IFERROR(IF(INDEX(Referensi!$B$5:$B$60,MATCH(E866,Referensi!$A$5:$A$60,0))=D866,"OK","Jenis tidak cocok"),"Kategori tidak dikenal"))</f>
        <v/>
      </c>
    </row>
    <row r="867" ht="15" customHeight="1" s="33">
      <c r="A867" s="57">
        <f>IF(B867="","",ROW()-4)</f>
        <v/>
      </c>
      <c r="B867" s="58" t="n"/>
      <c r="C867" s="38" t="n"/>
      <c r="D867" s="38" t="n"/>
      <c r="E867" s="38" t="n"/>
      <c r="F867" s="57">
        <f>IF(E867="","",IFERROR(INDEX(Referensi!$C$5:$C$60,MATCH(E867,Referensi!$A$5:$A$60,0)),"?"))</f>
        <v/>
      </c>
      <c r="G867" s="38" t="n"/>
      <c r="H867" s="59" t="n"/>
      <c r="I867" s="38" t="n"/>
      <c r="J867" s="39" t="n"/>
      <c r="K867" s="60">
        <f>IF(J867="","",SUMIFS(J$5:J867,D$5:D867,"Masuk")-SUMIFS(J$5:J867,D$5:D867,"Keluar"))</f>
        <v/>
      </c>
      <c r="L867" s="38" t="n"/>
      <c r="M867" s="38" t="n"/>
      <c r="N867" s="57">
        <f>IF(E867="","",IFERROR(IF(INDEX(Referensi!$B$5:$B$60,MATCH(E867,Referensi!$A$5:$A$60,0))=D867,"OK","Jenis tidak cocok"),"Kategori tidak dikenal"))</f>
        <v/>
      </c>
    </row>
    <row r="868" ht="15" customHeight="1" s="33">
      <c r="A868" s="57">
        <f>IF(B868="","",ROW()-4)</f>
        <v/>
      </c>
      <c r="B868" s="58" t="n"/>
      <c r="C868" s="38" t="n"/>
      <c r="D868" s="38" t="n"/>
      <c r="E868" s="38" t="n"/>
      <c r="F868" s="57">
        <f>IF(E868="","",IFERROR(INDEX(Referensi!$C$5:$C$60,MATCH(E868,Referensi!$A$5:$A$60,0)),"?"))</f>
        <v/>
      </c>
      <c r="G868" s="38" t="n"/>
      <c r="H868" s="59" t="n"/>
      <c r="I868" s="38" t="n"/>
      <c r="J868" s="39" t="n"/>
      <c r="K868" s="60">
        <f>IF(J868="","",SUMIFS(J$5:J868,D$5:D868,"Masuk")-SUMIFS(J$5:J868,D$5:D868,"Keluar"))</f>
        <v/>
      </c>
      <c r="L868" s="38" t="n"/>
      <c r="M868" s="38" t="n"/>
      <c r="N868" s="57">
        <f>IF(E868="","",IFERROR(IF(INDEX(Referensi!$B$5:$B$60,MATCH(E868,Referensi!$A$5:$A$60,0))=D868,"OK","Jenis tidak cocok"),"Kategori tidak dikenal"))</f>
        <v/>
      </c>
    </row>
    <row r="869" ht="15" customHeight="1" s="33">
      <c r="A869" s="57">
        <f>IF(B869="","",ROW()-4)</f>
        <v/>
      </c>
      <c r="B869" s="58" t="n"/>
      <c r="C869" s="38" t="n"/>
      <c r="D869" s="38" t="n"/>
      <c r="E869" s="38" t="n"/>
      <c r="F869" s="57">
        <f>IF(E869="","",IFERROR(INDEX(Referensi!$C$5:$C$60,MATCH(E869,Referensi!$A$5:$A$60,0)),"?"))</f>
        <v/>
      </c>
      <c r="G869" s="38" t="n"/>
      <c r="H869" s="59" t="n"/>
      <c r="I869" s="38" t="n"/>
      <c r="J869" s="39" t="n"/>
      <c r="K869" s="60">
        <f>IF(J869="","",SUMIFS(J$5:J869,D$5:D869,"Masuk")-SUMIFS(J$5:J869,D$5:D869,"Keluar"))</f>
        <v/>
      </c>
      <c r="L869" s="38" t="n"/>
      <c r="M869" s="38" t="n"/>
      <c r="N869" s="57">
        <f>IF(E869="","",IFERROR(IF(INDEX(Referensi!$B$5:$B$60,MATCH(E869,Referensi!$A$5:$A$60,0))=D869,"OK","Jenis tidak cocok"),"Kategori tidak dikenal"))</f>
        <v/>
      </c>
    </row>
    <row r="870" ht="15" customHeight="1" s="33">
      <c r="A870" s="57">
        <f>IF(B870="","",ROW()-4)</f>
        <v/>
      </c>
      <c r="B870" s="58" t="n"/>
      <c r="C870" s="38" t="n"/>
      <c r="D870" s="38" t="n"/>
      <c r="E870" s="38" t="n"/>
      <c r="F870" s="57">
        <f>IF(E870="","",IFERROR(INDEX(Referensi!$C$5:$C$60,MATCH(E870,Referensi!$A$5:$A$60,0)),"?"))</f>
        <v/>
      </c>
      <c r="G870" s="38" t="n"/>
      <c r="H870" s="59" t="n"/>
      <c r="I870" s="38" t="n"/>
      <c r="J870" s="39" t="n"/>
      <c r="K870" s="60">
        <f>IF(J870="","",SUMIFS(J$5:J870,D$5:D870,"Masuk")-SUMIFS(J$5:J870,D$5:D870,"Keluar"))</f>
        <v/>
      </c>
      <c r="L870" s="38" t="n"/>
      <c r="M870" s="38" t="n"/>
      <c r="N870" s="57">
        <f>IF(E870="","",IFERROR(IF(INDEX(Referensi!$B$5:$B$60,MATCH(E870,Referensi!$A$5:$A$60,0))=D870,"OK","Jenis tidak cocok"),"Kategori tidak dikenal"))</f>
        <v/>
      </c>
    </row>
    <row r="871" ht="15" customHeight="1" s="33">
      <c r="A871" s="57">
        <f>IF(B871="","",ROW()-4)</f>
        <v/>
      </c>
      <c r="B871" s="58" t="n"/>
      <c r="C871" s="38" t="n"/>
      <c r="D871" s="38" t="n"/>
      <c r="E871" s="38" t="n"/>
      <c r="F871" s="57">
        <f>IF(E871="","",IFERROR(INDEX(Referensi!$C$5:$C$60,MATCH(E871,Referensi!$A$5:$A$60,0)),"?"))</f>
        <v/>
      </c>
      <c r="G871" s="38" t="n"/>
      <c r="H871" s="59" t="n"/>
      <c r="I871" s="38" t="n"/>
      <c r="J871" s="39" t="n"/>
      <c r="K871" s="60">
        <f>IF(J871="","",SUMIFS(J$5:J871,D$5:D871,"Masuk")-SUMIFS(J$5:J871,D$5:D871,"Keluar"))</f>
        <v/>
      </c>
      <c r="L871" s="38" t="n"/>
      <c r="M871" s="38" t="n"/>
      <c r="N871" s="57">
        <f>IF(E871="","",IFERROR(IF(INDEX(Referensi!$B$5:$B$60,MATCH(E871,Referensi!$A$5:$A$60,0))=D871,"OK","Jenis tidak cocok"),"Kategori tidak dikenal"))</f>
        <v/>
      </c>
    </row>
    <row r="872" ht="15" customHeight="1" s="33">
      <c r="A872" s="57">
        <f>IF(B872="","",ROW()-4)</f>
        <v/>
      </c>
      <c r="B872" s="58" t="n"/>
      <c r="C872" s="38" t="n"/>
      <c r="D872" s="38" t="n"/>
      <c r="E872" s="38" t="n"/>
      <c r="F872" s="57">
        <f>IF(E872="","",IFERROR(INDEX(Referensi!$C$5:$C$60,MATCH(E872,Referensi!$A$5:$A$60,0)),"?"))</f>
        <v/>
      </c>
      <c r="G872" s="38" t="n"/>
      <c r="H872" s="59" t="n"/>
      <c r="I872" s="38" t="n"/>
      <c r="J872" s="39" t="n"/>
      <c r="K872" s="60">
        <f>IF(J872="","",SUMIFS(J$5:J872,D$5:D872,"Masuk")-SUMIFS(J$5:J872,D$5:D872,"Keluar"))</f>
        <v/>
      </c>
      <c r="L872" s="38" t="n"/>
      <c r="M872" s="38" t="n"/>
      <c r="N872" s="57">
        <f>IF(E872="","",IFERROR(IF(INDEX(Referensi!$B$5:$B$60,MATCH(E872,Referensi!$A$5:$A$60,0))=D872,"OK","Jenis tidak cocok"),"Kategori tidak dikenal"))</f>
        <v/>
      </c>
    </row>
    <row r="873" ht="15" customHeight="1" s="33">
      <c r="A873" s="57">
        <f>IF(B873="","",ROW()-4)</f>
        <v/>
      </c>
      <c r="B873" s="58" t="n"/>
      <c r="C873" s="38" t="n"/>
      <c r="D873" s="38" t="n"/>
      <c r="E873" s="38" t="n"/>
      <c r="F873" s="57">
        <f>IF(E873="","",IFERROR(INDEX(Referensi!$C$5:$C$60,MATCH(E873,Referensi!$A$5:$A$60,0)),"?"))</f>
        <v/>
      </c>
      <c r="G873" s="38" t="n"/>
      <c r="H873" s="59" t="n"/>
      <c r="I873" s="38" t="n"/>
      <c r="J873" s="39" t="n"/>
      <c r="K873" s="60">
        <f>IF(J873="","",SUMIFS(J$5:J873,D$5:D873,"Masuk")-SUMIFS(J$5:J873,D$5:D873,"Keluar"))</f>
        <v/>
      </c>
      <c r="L873" s="38" t="n"/>
      <c r="M873" s="38" t="n"/>
      <c r="N873" s="57">
        <f>IF(E873="","",IFERROR(IF(INDEX(Referensi!$B$5:$B$60,MATCH(E873,Referensi!$A$5:$A$60,0))=D873,"OK","Jenis tidak cocok"),"Kategori tidak dikenal"))</f>
        <v/>
      </c>
    </row>
    <row r="874" ht="15" customHeight="1" s="33">
      <c r="A874" s="57">
        <f>IF(B874="","",ROW()-4)</f>
        <v/>
      </c>
      <c r="B874" s="58" t="n"/>
      <c r="C874" s="38" t="n"/>
      <c r="D874" s="38" t="n"/>
      <c r="E874" s="38" t="n"/>
      <c r="F874" s="57">
        <f>IF(E874="","",IFERROR(INDEX(Referensi!$C$5:$C$60,MATCH(E874,Referensi!$A$5:$A$60,0)),"?"))</f>
        <v/>
      </c>
      <c r="G874" s="38" t="n"/>
      <c r="H874" s="59" t="n"/>
      <c r="I874" s="38" t="n"/>
      <c r="J874" s="39" t="n"/>
      <c r="K874" s="60">
        <f>IF(J874="","",SUMIFS(J$5:J874,D$5:D874,"Masuk")-SUMIFS(J$5:J874,D$5:D874,"Keluar"))</f>
        <v/>
      </c>
      <c r="L874" s="38" t="n"/>
      <c r="M874" s="38" t="n"/>
      <c r="N874" s="57">
        <f>IF(E874="","",IFERROR(IF(INDEX(Referensi!$B$5:$B$60,MATCH(E874,Referensi!$A$5:$A$60,0))=D874,"OK","Jenis tidak cocok"),"Kategori tidak dikenal"))</f>
        <v/>
      </c>
    </row>
    <row r="875" ht="15" customHeight="1" s="33">
      <c r="A875" s="57">
        <f>IF(B875="","",ROW()-4)</f>
        <v/>
      </c>
      <c r="B875" s="58" t="n"/>
      <c r="C875" s="38" t="n"/>
      <c r="D875" s="38" t="n"/>
      <c r="E875" s="38" t="n"/>
      <c r="F875" s="57">
        <f>IF(E875="","",IFERROR(INDEX(Referensi!$C$5:$C$60,MATCH(E875,Referensi!$A$5:$A$60,0)),"?"))</f>
        <v/>
      </c>
      <c r="G875" s="38" t="n"/>
      <c r="H875" s="59" t="n"/>
      <c r="I875" s="38" t="n"/>
      <c r="J875" s="39" t="n"/>
      <c r="K875" s="60">
        <f>IF(J875="","",SUMIFS(J$5:J875,D$5:D875,"Masuk")-SUMIFS(J$5:J875,D$5:D875,"Keluar"))</f>
        <v/>
      </c>
      <c r="L875" s="38" t="n"/>
      <c r="M875" s="38" t="n"/>
      <c r="N875" s="57">
        <f>IF(E875="","",IFERROR(IF(INDEX(Referensi!$B$5:$B$60,MATCH(E875,Referensi!$A$5:$A$60,0))=D875,"OK","Jenis tidak cocok"),"Kategori tidak dikenal"))</f>
        <v/>
      </c>
    </row>
    <row r="876" ht="15" customHeight="1" s="33">
      <c r="A876" s="57">
        <f>IF(B876="","",ROW()-4)</f>
        <v/>
      </c>
      <c r="B876" s="58" t="n"/>
      <c r="C876" s="38" t="n"/>
      <c r="D876" s="38" t="n"/>
      <c r="E876" s="38" t="n"/>
      <c r="F876" s="57">
        <f>IF(E876="","",IFERROR(INDEX(Referensi!$C$5:$C$60,MATCH(E876,Referensi!$A$5:$A$60,0)),"?"))</f>
        <v/>
      </c>
      <c r="G876" s="38" t="n"/>
      <c r="H876" s="59" t="n"/>
      <c r="I876" s="38" t="n"/>
      <c r="J876" s="39" t="n"/>
      <c r="K876" s="60">
        <f>IF(J876="","",SUMIFS(J$5:J876,D$5:D876,"Masuk")-SUMIFS(J$5:J876,D$5:D876,"Keluar"))</f>
        <v/>
      </c>
      <c r="L876" s="38" t="n"/>
      <c r="M876" s="38" t="n"/>
      <c r="N876" s="57">
        <f>IF(E876="","",IFERROR(IF(INDEX(Referensi!$B$5:$B$60,MATCH(E876,Referensi!$A$5:$A$60,0))=D876,"OK","Jenis tidak cocok"),"Kategori tidak dikenal"))</f>
        <v/>
      </c>
    </row>
    <row r="877" ht="15" customHeight="1" s="33">
      <c r="A877" s="57">
        <f>IF(B877="","",ROW()-4)</f>
        <v/>
      </c>
      <c r="B877" s="58" t="n"/>
      <c r="C877" s="38" t="n"/>
      <c r="D877" s="38" t="n"/>
      <c r="E877" s="38" t="n"/>
      <c r="F877" s="57">
        <f>IF(E877="","",IFERROR(INDEX(Referensi!$C$5:$C$60,MATCH(E877,Referensi!$A$5:$A$60,0)),"?"))</f>
        <v/>
      </c>
      <c r="G877" s="38" t="n"/>
      <c r="H877" s="59" t="n"/>
      <c r="I877" s="38" t="n"/>
      <c r="J877" s="39" t="n"/>
      <c r="K877" s="60">
        <f>IF(J877="","",SUMIFS(J$5:J877,D$5:D877,"Masuk")-SUMIFS(J$5:J877,D$5:D877,"Keluar"))</f>
        <v/>
      </c>
      <c r="L877" s="38" t="n"/>
      <c r="M877" s="38" t="n"/>
      <c r="N877" s="57">
        <f>IF(E877="","",IFERROR(IF(INDEX(Referensi!$B$5:$B$60,MATCH(E877,Referensi!$A$5:$A$60,0))=D877,"OK","Jenis tidak cocok"),"Kategori tidak dikenal"))</f>
        <v/>
      </c>
    </row>
    <row r="878" ht="15" customHeight="1" s="33">
      <c r="A878" s="57">
        <f>IF(B878="","",ROW()-4)</f>
        <v/>
      </c>
      <c r="B878" s="58" t="n"/>
      <c r="C878" s="38" t="n"/>
      <c r="D878" s="38" t="n"/>
      <c r="E878" s="38" t="n"/>
      <c r="F878" s="57">
        <f>IF(E878="","",IFERROR(INDEX(Referensi!$C$5:$C$60,MATCH(E878,Referensi!$A$5:$A$60,0)),"?"))</f>
        <v/>
      </c>
      <c r="G878" s="38" t="n"/>
      <c r="H878" s="59" t="n"/>
      <c r="I878" s="38" t="n"/>
      <c r="J878" s="39" t="n"/>
      <c r="K878" s="60">
        <f>IF(J878="","",SUMIFS(J$5:J878,D$5:D878,"Masuk")-SUMIFS(J$5:J878,D$5:D878,"Keluar"))</f>
        <v/>
      </c>
      <c r="L878" s="38" t="n"/>
      <c r="M878" s="38" t="n"/>
      <c r="N878" s="57">
        <f>IF(E878="","",IFERROR(IF(INDEX(Referensi!$B$5:$B$60,MATCH(E878,Referensi!$A$5:$A$60,0))=D878,"OK","Jenis tidak cocok"),"Kategori tidak dikenal"))</f>
        <v/>
      </c>
    </row>
    <row r="879" ht="15" customHeight="1" s="33">
      <c r="A879" s="57">
        <f>IF(B879="","",ROW()-4)</f>
        <v/>
      </c>
      <c r="B879" s="58" t="n"/>
      <c r="C879" s="38" t="n"/>
      <c r="D879" s="38" t="n"/>
      <c r="E879" s="38" t="n"/>
      <c r="F879" s="57">
        <f>IF(E879="","",IFERROR(INDEX(Referensi!$C$5:$C$60,MATCH(E879,Referensi!$A$5:$A$60,0)),"?"))</f>
        <v/>
      </c>
      <c r="G879" s="38" t="n"/>
      <c r="H879" s="59" t="n"/>
      <c r="I879" s="38" t="n"/>
      <c r="J879" s="39" t="n"/>
      <c r="K879" s="60">
        <f>IF(J879="","",SUMIFS(J$5:J879,D$5:D879,"Masuk")-SUMIFS(J$5:J879,D$5:D879,"Keluar"))</f>
        <v/>
      </c>
      <c r="L879" s="38" t="n"/>
      <c r="M879" s="38" t="n"/>
      <c r="N879" s="57">
        <f>IF(E879="","",IFERROR(IF(INDEX(Referensi!$B$5:$B$60,MATCH(E879,Referensi!$A$5:$A$60,0))=D879,"OK","Jenis tidak cocok"),"Kategori tidak dikenal"))</f>
        <v/>
      </c>
    </row>
    <row r="880" ht="15" customHeight="1" s="33">
      <c r="A880" s="57">
        <f>IF(B880="","",ROW()-4)</f>
        <v/>
      </c>
      <c r="B880" s="58" t="n"/>
      <c r="C880" s="38" t="n"/>
      <c r="D880" s="38" t="n"/>
      <c r="E880" s="38" t="n"/>
      <c r="F880" s="57">
        <f>IF(E880="","",IFERROR(INDEX(Referensi!$C$5:$C$60,MATCH(E880,Referensi!$A$5:$A$60,0)),"?"))</f>
        <v/>
      </c>
      <c r="G880" s="38" t="n"/>
      <c r="H880" s="59" t="n"/>
      <c r="I880" s="38" t="n"/>
      <c r="J880" s="39" t="n"/>
      <c r="K880" s="60">
        <f>IF(J880="","",SUMIFS(J$5:J880,D$5:D880,"Masuk")-SUMIFS(J$5:J880,D$5:D880,"Keluar"))</f>
        <v/>
      </c>
      <c r="L880" s="38" t="n"/>
      <c r="M880" s="38" t="n"/>
      <c r="N880" s="57">
        <f>IF(E880="","",IFERROR(IF(INDEX(Referensi!$B$5:$B$60,MATCH(E880,Referensi!$A$5:$A$60,0))=D880,"OK","Jenis tidak cocok"),"Kategori tidak dikenal"))</f>
        <v/>
      </c>
    </row>
    <row r="881" ht="15" customHeight="1" s="33">
      <c r="A881" s="57">
        <f>IF(B881="","",ROW()-4)</f>
        <v/>
      </c>
      <c r="B881" s="58" t="n"/>
      <c r="C881" s="38" t="n"/>
      <c r="D881" s="38" t="n"/>
      <c r="E881" s="38" t="n"/>
      <c r="F881" s="57">
        <f>IF(E881="","",IFERROR(INDEX(Referensi!$C$5:$C$60,MATCH(E881,Referensi!$A$5:$A$60,0)),"?"))</f>
        <v/>
      </c>
      <c r="G881" s="38" t="n"/>
      <c r="H881" s="59" t="n"/>
      <c r="I881" s="38" t="n"/>
      <c r="J881" s="39" t="n"/>
      <c r="K881" s="60">
        <f>IF(J881="","",SUMIFS(J$5:J881,D$5:D881,"Masuk")-SUMIFS(J$5:J881,D$5:D881,"Keluar"))</f>
        <v/>
      </c>
      <c r="L881" s="38" t="n"/>
      <c r="M881" s="38" t="n"/>
      <c r="N881" s="57">
        <f>IF(E881="","",IFERROR(IF(INDEX(Referensi!$B$5:$B$60,MATCH(E881,Referensi!$A$5:$A$60,0))=D881,"OK","Jenis tidak cocok"),"Kategori tidak dikenal"))</f>
        <v/>
      </c>
    </row>
    <row r="882" ht="15" customHeight="1" s="33">
      <c r="A882" s="57">
        <f>IF(B882="","",ROW()-4)</f>
        <v/>
      </c>
      <c r="B882" s="58" t="n"/>
      <c r="C882" s="38" t="n"/>
      <c r="D882" s="38" t="n"/>
      <c r="E882" s="38" t="n"/>
      <c r="F882" s="57">
        <f>IF(E882="","",IFERROR(INDEX(Referensi!$C$5:$C$60,MATCH(E882,Referensi!$A$5:$A$60,0)),"?"))</f>
        <v/>
      </c>
      <c r="G882" s="38" t="n"/>
      <c r="H882" s="59" t="n"/>
      <c r="I882" s="38" t="n"/>
      <c r="J882" s="39" t="n"/>
      <c r="K882" s="60">
        <f>IF(J882="","",SUMIFS(J$5:J882,D$5:D882,"Masuk")-SUMIFS(J$5:J882,D$5:D882,"Keluar"))</f>
        <v/>
      </c>
      <c r="L882" s="38" t="n"/>
      <c r="M882" s="38" t="n"/>
      <c r="N882" s="57">
        <f>IF(E882="","",IFERROR(IF(INDEX(Referensi!$B$5:$B$60,MATCH(E882,Referensi!$A$5:$A$60,0))=D882,"OK","Jenis tidak cocok"),"Kategori tidak dikenal"))</f>
        <v/>
      </c>
    </row>
    <row r="883" ht="15" customHeight="1" s="33">
      <c r="A883" s="57">
        <f>IF(B883="","",ROW()-4)</f>
        <v/>
      </c>
      <c r="B883" s="58" t="n"/>
      <c r="C883" s="38" t="n"/>
      <c r="D883" s="38" t="n"/>
      <c r="E883" s="38" t="n"/>
      <c r="F883" s="57">
        <f>IF(E883="","",IFERROR(INDEX(Referensi!$C$5:$C$60,MATCH(E883,Referensi!$A$5:$A$60,0)),"?"))</f>
        <v/>
      </c>
      <c r="G883" s="38" t="n"/>
      <c r="H883" s="59" t="n"/>
      <c r="I883" s="38" t="n"/>
      <c r="J883" s="39" t="n"/>
      <c r="K883" s="60">
        <f>IF(J883="","",SUMIFS(J$5:J883,D$5:D883,"Masuk")-SUMIFS(J$5:J883,D$5:D883,"Keluar"))</f>
        <v/>
      </c>
      <c r="L883" s="38" t="n"/>
      <c r="M883" s="38" t="n"/>
      <c r="N883" s="57">
        <f>IF(E883="","",IFERROR(IF(INDEX(Referensi!$B$5:$B$60,MATCH(E883,Referensi!$A$5:$A$60,0))=D883,"OK","Jenis tidak cocok"),"Kategori tidak dikenal"))</f>
        <v/>
      </c>
    </row>
    <row r="884" ht="15" customHeight="1" s="33">
      <c r="A884" s="57">
        <f>IF(B884="","",ROW()-4)</f>
        <v/>
      </c>
      <c r="B884" s="58" t="n"/>
      <c r="C884" s="38" t="n"/>
      <c r="D884" s="38" t="n"/>
      <c r="E884" s="38" t="n"/>
      <c r="F884" s="57">
        <f>IF(E884="","",IFERROR(INDEX(Referensi!$C$5:$C$60,MATCH(E884,Referensi!$A$5:$A$60,0)),"?"))</f>
        <v/>
      </c>
      <c r="G884" s="38" t="n"/>
      <c r="H884" s="59" t="n"/>
      <c r="I884" s="38" t="n"/>
      <c r="J884" s="39" t="n"/>
      <c r="K884" s="60">
        <f>IF(J884="","",SUMIFS(J$5:J884,D$5:D884,"Masuk")-SUMIFS(J$5:J884,D$5:D884,"Keluar"))</f>
        <v/>
      </c>
      <c r="L884" s="38" t="n"/>
      <c r="M884" s="38" t="n"/>
      <c r="N884" s="57">
        <f>IF(E884="","",IFERROR(IF(INDEX(Referensi!$B$5:$B$60,MATCH(E884,Referensi!$A$5:$A$60,0))=D884,"OK","Jenis tidak cocok"),"Kategori tidak dikenal"))</f>
        <v/>
      </c>
    </row>
    <row r="885" ht="15" customHeight="1" s="33">
      <c r="A885" s="57">
        <f>IF(B885="","",ROW()-4)</f>
        <v/>
      </c>
      <c r="B885" s="58" t="n"/>
      <c r="C885" s="38" t="n"/>
      <c r="D885" s="38" t="n"/>
      <c r="E885" s="38" t="n"/>
      <c r="F885" s="57">
        <f>IF(E885="","",IFERROR(INDEX(Referensi!$C$5:$C$60,MATCH(E885,Referensi!$A$5:$A$60,0)),"?"))</f>
        <v/>
      </c>
      <c r="G885" s="38" t="n"/>
      <c r="H885" s="59" t="n"/>
      <c r="I885" s="38" t="n"/>
      <c r="J885" s="39" t="n"/>
      <c r="K885" s="60">
        <f>IF(J885="","",SUMIFS(J$5:J885,D$5:D885,"Masuk")-SUMIFS(J$5:J885,D$5:D885,"Keluar"))</f>
        <v/>
      </c>
      <c r="L885" s="38" t="n"/>
      <c r="M885" s="38" t="n"/>
      <c r="N885" s="57">
        <f>IF(E885="","",IFERROR(IF(INDEX(Referensi!$B$5:$B$60,MATCH(E885,Referensi!$A$5:$A$60,0))=D885,"OK","Jenis tidak cocok"),"Kategori tidak dikenal"))</f>
        <v/>
      </c>
    </row>
    <row r="886" ht="15" customHeight="1" s="33">
      <c r="A886" s="57">
        <f>IF(B886="","",ROW()-4)</f>
        <v/>
      </c>
      <c r="B886" s="58" t="n"/>
      <c r="C886" s="38" t="n"/>
      <c r="D886" s="38" t="n"/>
      <c r="E886" s="38" t="n"/>
      <c r="F886" s="57">
        <f>IF(E886="","",IFERROR(INDEX(Referensi!$C$5:$C$60,MATCH(E886,Referensi!$A$5:$A$60,0)),"?"))</f>
        <v/>
      </c>
      <c r="G886" s="38" t="n"/>
      <c r="H886" s="59" t="n"/>
      <c r="I886" s="38" t="n"/>
      <c r="J886" s="39" t="n"/>
      <c r="K886" s="60">
        <f>IF(J886="","",SUMIFS(J$5:J886,D$5:D886,"Masuk")-SUMIFS(J$5:J886,D$5:D886,"Keluar"))</f>
        <v/>
      </c>
      <c r="L886" s="38" t="n"/>
      <c r="M886" s="38" t="n"/>
      <c r="N886" s="57">
        <f>IF(E886="","",IFERROR(IF(INDEX(Referensi!$B$5:$B$60,MATCH(E886,Referensi!$A$5:$A$60,0))=D886,"OK","Jenis tidak cocok"),"Kategori tidak dikenal"))</f>
        <v/>
      </c>
    </row>
    <row r="887" ht="15" customHeight="1" s="33">
      <c r="A887" s="57">
        <f>IF(B887="","",ROW()-4)</f>
        <v/>
      </c>
      <c r="B887" s="58" t="n"/>
      <c r="C887" s="38" t="n"/>
      <c r="D887" s="38" t="n"/>
      <c r="E887" s="38" t="n"/>
      <c r="F887" s="57">
        <f>IF(E887="","",IFERROR(INDEX(Referensi!$C$5:$C$60,MATCH(E887,Referensi!$A$5:$A$60,0)),"?"))</f>
        <v/>
      </c>
      <c r="G887" s="38" t="n"/>
      <c r="H887" s="59" t="n"/>
      <c r="I887" s="38" t="n"/>
      <c r="J887" s="39" t="n"/>
      <c r="K887" s="60">
        <f>IF(J887="","",SUMIFS(J$5:J887,D$5:D887,"Masuk")-SUMIFS(J$5:J887,D$5:D887,"Keluar"))</f>
        <v/>
      </c>
      <c r="L887" s="38" t="n"/>
      <c r="M887" s="38" t="n"/>
      <c r="N887" s="57">
        <f>IF(E887="","",IFERROR(IF(INDEX(Referensi!$B$5:$B$60,MATCH(E887,Referensi!$A$5:$A$60,0))=D887,"OK","Jenis tidak cocok"),"Kategori tidak dikenal"))</f>
        <v/>
      </c>
    </row>
    <row r="888" ht="15" customHeight="1" s="33">
      <c r="A888" s="57">
        <f>IF(B888="","",ROW()-4)</f>
        <v/>
      </c>
      <c r="B888" s="58" t="n"/>
      <c r="C888" s="38" t="n"/>
      <c r="D888" s="38" t="n"/>
      <c r="E888" s="38" t="n"/>
      <c r="F888" s="57">
        <f>IF(E888="","",IFERROR(INDEX(Referensi!$C$5:$C$60,MATCH(E888,Referensi!$A$5:$A$60,0)),"?"))</f>
        <v/>
      </c>
      <c r="G888" s="38" t="n"/>
      <c r="H888" s="59" t="n"/>
      <c r="I888" s="38" t="n"/>
      <c r="J888" s="39" t="n"/>
      <c r="K888" s="60">
        <f>IF(J888="","",SUMIFS(J$5:J888,D$5:D888,"Masuk")-SUMIFS(J$5:J888,D$5:D888,"Keluar"))</f>
        <v/>
      </c>
      <c r="L888" s="38" t="n"/>
      <c r="M888" s="38" t="n"/>
      <c r="N888" s="57">
        <f>IF(E888="","",IFERROR(IF(INDEX(Referensi!$B$5:$B$60,MATCH(E888,Referensi!$A$5:$A$60,0))=D888,"OK","Jenis tidak cocok"),"Kategori tidak dikenal"))</f>
        <v/>
      </c>
    </row>
    <row r="889" ht="15" customHeight="1" s="33">
      <c r="A889" s="57">
        <f>IF(B889="","",ROW()-4)</f>
        <v/>
      </c>
      <c r="B889" s="58" t="n"/>
      <c r="C889" s="38" t="n"/>
      <c r="D889" s="38" t="n"/>
      <c r="E889" s="38" t="n"/>
      <c r="F889" s="57">
        <f>IF(E889="","",IFERROR(INDEX(Referensi!$C$5:$C$60,MATCH(E889,Referensi!$A$5:$A$60,0)),"?"))</f>
        <v/>
      </c>
      <c r="G889" s="38" t="n"/>
      <c r="H889" s="59" t="n"/>
      <c r="I889" s="38" t="n"/>
      <c r="J889" s="39" t="n"/>
      <c r="K889" s="60">
        <f>IF(J889="","",SUMIFS(J$5:J889,D$5:D889,"Masuk")-SUMIFS(J$5:J889,D$5:D889,"Keluar"))</f>
        <v/>
      </c>
      <c r="L889" s="38" t="n"/>
      <c r="M889" s="38" t="n"/>
      <c r="N889" s="57">
        <f>IF(E889="","",IFERROR(IF(INDEX(Referensi!$B$5:$B$60,MATCH(E889,Referensi!$A$5:$A$60,0))=D889,"OK","Jenis tidak cocok"),"Kategori tidak dikenal"))</f>
        <v/>
      </c>
    </row>
    <row r="890" ht="15" customHeight="1" s="33">
      <c r="A890" s="57">
        <f>IF(B890="","",ROW()-4)</f>
        <v/>
      </c>
      <c r="B890" s="58" t="n"/>
      <c r="C890" s="38" t="n"/>
      <c r="D890" s="38" t="n"/>
      <c r="E890" s="38" t="n"/>
      <c r="F890" s="57">
        <f>IF(E890="","",IFERROR(INDEX(Referensi!$C$5:$C$60,MATCH(E890,Referensi!$A$5:$A$60,0)),"?"))</f>
        <v/>
      </c>
      <c r="G890" s="38" t="n"/>
      <c r="H890" s="59" t="n"/>
      <c r="I890" s="38" t="n"/>
      <c r="J890" s="39" t="n"/>
      <c r="K890" s="60">
        <f>IF(J890="","",SUMIFS(J$5:J890,D$5:D890,"Masuk")-SUMIFS(J$5:J890,D$5:D890,"Keluar"))</f>
        <v/>
      </c>
      <c r="L890" s="38" t="n"/>
      <c r="M890" s="38" t="n"/>
      <c r="N890" s="57">
        <f>IF(E890="","",IFERROR(IF(INDEX(Referensi!$B$5:$B$60,MATCH(E890,Referensi!$A$5:$A$60,0))=D890,"OK","Jenis tidak cocok"),"Kategori tidak dikenal"))</f>
        <v/>
      </c>
    </row>
    <row r="891" ht="15" customHeight="1" s="33">
      <c r="A891" s="57">
        <f>IF(B891="","",ROW()-4)</f>
        <v/>
      </c>
      <c r="B891" s="58" t="n"/>
      <c r="C891" s="38" t="n"/>
      <c r="D891" s="38" t="n"/>
      <c r="E891" s="38" t="n"/>
      <c r="F891" s="57">
        <f>IF(E891="","",IFERROR(INDEX(Referensi!$C$5:$C$60,MATCH(E891,Referensi!$A$5:$A$60,0)),"?"))</f>
        <v/>
      </c>
      <c r="G891" s="38" t="n"/>
      <c r="H891" s="59" t="n"/>
      <c r="I891" s="38" t="n"/>
      <c r="J891" s="39" t="n"/>
      <c r="K891" s="60">
        <f>IF(J891="","",SUMIFS(J$5:J891,D$5:D891,"Masuk")-SUMIFS(J$5:J891,D$5:D891,"Keluar"))</f>
        <v/>
      </c>
      <c r="L891" s="38" t="n"/>
      <c r="M891" s="38" t="n"/>
      <c r="N891" s="57">
        <f>IF(E891="","",IFERROR(IF(INDEX(Referensi!$B$5:$B$60,MATCH(E891,Referensi!$A$5:$A$60,0))=D891,"OK","Jenis tidak cocok"),"Kategori tidak dikenal"))</f>
        <v/>
      </c>
    </row>
    <row r="892" ht="15" customHeight="1" s="33">
      <c r="A892" s="57">
        <f>IF(B892="","",ROW()-4)</f>
        <v/>
      </c>
      <c r="B892" s="58" t="n"/>
      <c r="C892" s="38" t="n"/>
      <c r="D892" s="38" t="n"/>
      <c r="E892" s="38" t="n"/>
      <c r="F892" s="57">
        <f>IF(E892="","",IFERROR(INDEX(Referensi!$C$5:$C$60,MATCH(E892,Referensi!$A$5:$A$60,0)),"?"))</f>
        <v/>
      </c>
      <c r="G892" s="38" t="n"/>
      <c r="H892" s="59" t="n"/>
      <c r="I892" s="38" t="n"/>
      <c r="J892" s="39" t="n"/>
      <c r="K892" s="60">
        <f>IF(J892="","",SUMIFS(J$5:J892,D$5:D892,"Masuk")-SUMIFS(J$5:J892,D$5:D892,"Keluar"))</f>
        <v/>
      </c>
      <c r="L892" s="38" t="n"/>
      <c r="M892" s="38" t="n"/>
      <c r="N892" s="57">
        <f>IF(E892="","",IFERROR(IF(INDEX(Referensi!$B$5:$B$60,MATCH(E892,Referensi!$A$5:$A$60,0))=D892,"OK","Jenis tidak cocok"),"Kategori tidak dikenal"))</f>
        <v/>
      </c>
    </row>
    <row r="893" ht="15" customHeight="1" s="33">
      <c r="A893" s="57">
        <f>IF(B893="","",ROW()-4)</f>
        <v/>
      </c>
      <c r="B893" s="58" t="n"/>
      <c r="C893" s="38" t="n"/>
      <c r="D893" s="38" t="n"/>
      <c r="E893" s="38" t="n"/>
      <c r="F893" s="57">
        <f>IF(E893="","",IFERROR(INDEX(Referensi!$C$5:$C$60,MATCH(E893,Referensi!$A$5:$A$60,0)),"?"))</f>
        <v/>
      </c>
      <c r="G893" s="38" t="n"/>
      <c r="H893" s="59" t="n"/>
      <c r="I893" s="38" t="n"/>
      <c r="J893" s="39" t="n"/>
      <c r="K893" s="60">
        <f>IF(J893="","",SUMIFS(J$5:J893,D$5:D893,"Masuk")-SUMIFS(J$5:J893,D$5:D893,"Keluar"))</f>
        <v/>
      </c>
      <c r="L893" s="38" t="n"/>
      <c r="M893" s="38" t="n"/>
      <c r="N893" s="57">
        <f>IF(E893="","",IFERROR(IF(INDEX(Referensi!$B$5:$B$60,MATCH(E893,Referensi!$A$5:$A$60,0))=D893,"OK","Jenis tidak cocok"),"Kategori tidak dikenal"))</f>
        <v/>
      </c>
    </row>
    <row r="894" ht="15" customHeight="1" s="33">
      <c r="A894" s="57">
        <f>IF(B894="","",ROW()-4)</f>
        <v/>
      </c>
      <c r="B894" s="58" t="n"/>
      <c r="C894" s="38" t="n"/>
      <c r="D894" s="38" t="n"/>
      <c r="E894" s="38" t="n"/>
      <c r="F894" s="57">
        <f>IF(E894="","",IFERROR(INDEX(Referensi!$C$5:$C$60,MATCH(E894,Referensi!$A$5:$A$60,0)),"?"))</f>
        <v/>
      </c>
      <c r="G894" s="38" t="n"/>
      <c r="H894" s="59" t="n"/>
      <c r="I894" s="38" t="n"/>
      <c r="J894" s="39" t="n"/>
      <c r="K894" s="60">
        <f>IF(J894="","",SUMIFS(J$5:J894,D$5:D894,"Masuk")-SUMIFS(J$5:J894,D$5:D894,"Keluar"))</f>
        <v/>
      </c>
      <c r="L894" s="38" t="n"/>
      <c r="M894" s="38" t="n"/>
      <c r="N894" s="57">
        <f>IF(E894="","",IFERROR(IF(INDEX(Referensi!$B$5:$B$60,MATCH(E894,Referensi!$A$5:$A$60,0))=D894,"OK","Jenis tidak cocok"),"Kategori tidak dikenal"))</f>
        <v/>
      </c>
    </row>
    <row r="895" ht="15" customHeight="1" s="33">
      <c r="A895" s="57">
        <f>IF(B895="","",ROW()-4)</f>
        <v/>
      </c>
      <c r="B895" s="58" t="n"/>
      <c r="C895" s="38" t="n"/>
      <c r="D895" s="38" t="n"/>
      <c r="E895" s="38" t="n"/>
      <c r="F895" s="57">
        <f>IF(E895="","",IFERROR(INDEX(Referensi!$C$5:$C$60,MATCH(E895,Referensi!$A$5:$A$60,0)),"?"))</f>
        <v/>
      </c>
      <c r="G895" s="38" t="n"/>
      <c r="H895" s="59" t="n"/>
      <c r="I895" s="38" t="n"/>
      <c r="J895" s="39" t="n"/>
      <c r="K895" s="60">
        <f>IF(J895="","",SUMIFS(J$5:J895,D$5:D895,"Masuk")-SUMIFS(J$5:J895,D$5:D895,"Keluar"))</f>
        <v/>
      </c>
      <c r="L895" s="38" t="n"/>
      <c r="M895" s="38" t="n"/>
      <c r="N895" s="57">
        <f>IF(E895="","",IFERROR(IF(INDEX(Referensi!$B$5:$B$60,MATCH(E895,Referensi!$A$5:$A$60,0))=D895,"OK","Jenis tidak cocok"),"Kategori tidak dikenal"))</f>
        <v/>
      </c>
    </row>
    <row r="896" ht="15" customHeight="1" s="33">
      <c r="A896" s="57">
        <f>IF(B896="","",ROW()-4)</f>
        <v/>
      </c>
      <c r="B896" s="58" t="n"/>
      <c r="C896" s="38" t="n"/>
      <c r="D896" s="38" t="n"/>
      <c r="E896" s="38" t="n"/>
      <c r="F896" s="57">
        <f>IF(E896="","",IFERROR(INDEX(Referensi!$C$5:$C$60,MATCH(E896,Referensi!$A$5:$A$60,0)),"?"))</f>
        <v/>
      </c>
      <c r="G896" s="38" t="n"/>
      <c r="H896" s="59" t="n"/>
      <c r="I896" s="38" t="n"/>
      <c r="J896" s="39" t="n"/>
      <c r="K896" s="60">
        <f>IF(J896="","",SUMIFS(J$5:J896,D$5:D896,"Masuk")-SUMIFS(J$5:J896,D$5:D896,"Keluar"))</f>
        <v/>
      </c>
      <c r="L896" s="38" t="n"/>
      <c r="M896" s="38" t="n"/>
      <c r="N896" s="57">
        <f>IF(E896="","",IFERROR(IF(INDEX(Referensi!$B$5:$B$60,MATCH(E896,Referensi!$A$5:$A$60,0))=D896,"OK","Jenis tidak cocok"),"Kategori tidak dikenal"))</f>
        <v/>
      </c>
    </row>
    <row r="897" ht="15" customHeight="1" s="33">
      <c r="A897" s="57">
        <f>IF(B897="","",ROW()-4)</f>
        <v/>
      </c>
      <c r="B897" s="58" t="n"/>
      <c r="C897" s="38" t="n"/>
      <c r="D897" s="38" t="n"/>
      <c r="E897" s="38" t="n"/>
      <c r="F897" s="57">
        <f>IF(E897="","",IFERROR(INDEX(Referensi!$C$5:$C$60,MATCH(E897,Referensi!$A$5:$A$60,0)),"?"))</f>
        <v/>
      </c>
      <c r="G897" s="38" t="n"/>
      <c r="H897" s="59" t="n"/>
      <c r="I897" s="38" t="n"/>
      <c r="J897" s="39" t="n"/>
      <c r="K897" s="60">
        <f>IF(J897="","",SUMIFS(J$5:J897,D$5:D897,"Masuk")-SUMIFS(J$5:J897,D$5:D897,"Keluar"))</f>
        <v/>
      </c>
      <c r="L897" s="38" t="n"/>
      <c r="M897" s="38" t="n"/>
      <c r="N897" s="57">
        <f>IF(E897="","",IFERROR(IF(INDEX(Referensi!$B$5:$B$60,MATCH(E897,Referensi!$A$5:$A$60,0))=D897,"OK","Jenis tidak cocok"),"Kategori tidak dikenal"))</f>
        <v/>
      </c>
    </row>
    <row r="898" ht="15" customHeight="1" s="33">
      <c r="A898" s="57">
        <f>IF(B898="","",ROW()-4)</f>
        <v/>
      </c>
      <c r="B898" s="58" t="n"/>
      <c r="C898" s="38" t="n"/>
      <c r="D898" s="38" t="n"/>
      <c r="E898" s="38" t="n"/>
      <c r="F898" s="57">
        <f>IF(E898="","",IFERROR(INDEX(Referensi!$C$5:$C$60,MATCH(E898,Referensi!$A$5:$A$60,0)),"?"))</f>
        <v/>
      </c>
      <c r="G898" s="38" t="n"/>
      <c r="H898" s="59" t="n"/>
      <c r="I898" s="38" t="n"/>
      <c r="J898" s="39" t="n"/>
      <c r="K898" s="60">
        <f>IF(J898="","",SUMIFS(J$5:J898,D$5:D898,"Masuk")-SUMIFS(J$5:J898,D$5:D898,"Keluar"))</f>
        <v/>
      </c>
      <c r="L898" s="38" t="n"/>
      <c r="M898" s="38" t="n"/>
      <c r="N898" s="57">
        <f>IF(E898="","",IFERROR(IF(INDEX(Referensi!$B$5:$B$60,MATCH(E898,Referensi!$A$5:$A$60,0))=D898,"OK","Jenis tidak cocok"),"Kategori tidak dikenal"))</f>
        <v/>
      </c>
    </row>
    <row r="899" ht="15" customHeight="1" s="33">
      <c r="A899" s="57">
        <f>IF(B899="","",ROW()-4)</f>
        <v/>
      </c>
      <c r="B899" s="58" t="n"/>
      <c r="C899" s="38" t="n"/>
      <c r="D899" s="38" t="n"/>
      <c r="E899" s="38" t="n"/>
      <c r="F899" s="57">
        <f>IF(E899="","",IFERROR(INDEX(Referensi!$C$5:$C$60,MATCH(E899,Referensi!$A$5:$A$60,0)),"?"))</f>
        <v/>
      </c>
      <c r="G899" s="38" t="n"/>
      <c r="H899" s="59" t="n"/>
      <c r="I899" s="38" t="n"/>
      <c r="J899" s="39" t="n"/>
      <c r="K899" s="60">
        <f>IF(J899="","",SUMIFS(J$5:J899,D$5:D899,"Masuk")-SUMIFS(J$5:J899,D$5:D899,"Keluar"))</f>
        <v/>
      </c>
      <c r="L899" s="38" t="n"/>
      <c r="M899" s="38" t="n"/>
      <c r="N899" s="57">
        <f>IF(E899="","",IFERROR(IF(INDEX(Referensi!$B$5:$B$60,MATCH(E899,Referensi!$A$5:$A$60,0))=D899,"OK","Jenis tidak cocok"),"Kategori tidak dikenal"))</f>
        <v/>
      </c>
    </row>
    <row r="900" ht="15" customHeight="1" s="33">
      <c r="A900" s="57">
        <f>IF(B900="","",ROW()-4)</f>
        <v/>
      </c>
      <c r="B900" s="58" t="n"/>
      <c r="C900" s="38" t="n"/>
      <c r="D900" s="38" t="n"/>
      <c r="E900" s="38" t="n"/>
      <c r="F900" s="57">
        <f>IF(E900="","",IFERROR(INDEX(Referensi!$C$5:$C$60,MATCH(E900,Referensi!$A$5:$A$60,0)),"?"))</f>
        <v/>
      </c>
      <c r="G900" s="38" t="n"/>
      <c r="H900" s="59" t="n"/>
      <c r="I900" s="38" t="n"/>
      <c r="J900" s="39" t="n"/>
      <c r="K900" s="60">
        <f>IF(J900="","",SUMIFS(J$5:J900,D$5:D900,"Masuk")-SUMIFS(J$5:J900,D$5:D900,"Keluar"))</f>
        <v/>
      </c>
      <c r="L900" s="38" t="n"/>
      <c r="M900" s="38" t="n"/>
      <c r="N900" s="57">
        <f>IF(E900="","",IFERROR(IF(INDEX(Referensi!$B$5:$B$60,MATCH(E900,Referensi!$A$5:$A$60,0))=D900,"OK","Jenis tidak cocok"),"Kategori tidak dikenal"))</f>
        <v/>
      </c>
    </row>
    <row r="901" ht="15" customHeight="1" s="33">
      <c r="A901" s="57">
        <f>IF(B901="","",ROW()-4)</f>
        <v/>
      </c>
      <c r="B901" s="58" t="n"/>
      <c r="C901" s="38" t="n"/>
      <c r="D901" s="38" t="n"/>
      <c r="E901" s="38" t="n"/>
      <c r="F901" s="57">
        <f>IF(E901="","",IFERROR(INDEX(Referensi!$C$5:$C$60,MATCH(E901,Referensi!$A$5:$A$60,0)),"?"))</f>
        <v/>
      </c>
      <c r="G901" s="38" t="n"/>
      <c r="H901" s="59" t="n"/>
      <c r="I901" s="38" t="n"/>
      <c r="J901" s="39" t="n"/>
      <c r="K901" s="60">
        <f>IF(J901="","",SUMIFS(J$5:J901,D$5:D901,"Masuk")-SUMIFS(J$5:J901,D$5:D901,"Keluar"))</f>
        <v/>
      </c>
      <c r="L901" s="38" t="n"/>
      <c r="M901" s="38" t="n"/>
      <c r="N901" s="57">
        <f>IF(E901="","",IFERROR(IF(INDEX(Referensi!$B$5:$B$60,MATCH(E901,Referensi!$A$5:$A$60,0))=D901,"OK","Jenis tidak cocok"),"Kategori tidak dikenal"))</f>
        <v/>
      </c>
    </row>
    <row r="902" ht="15" customHeight="1" s="33">
      <c r="A902" s="57">
        <f>IF(B902="","",ROW()-4)</f>
        <v/>
      </c>
      <c r="B902" s="58" t="n"/>
      <c r="C902" s="38" t="n"/>
      <c r="D902" s="38" t="n"/>
      <c r="E902" s="38" t="n"/>
      <c r="F902" s="57">
        <f>IF(E902="","",IFERROR(INDEX(Referensi!$C$5:$C$60,MATCH(E902,Referensi!$A$5:$A$60,0)),"?"))</f>
        <v/>
      </c>
      <c r="G902" s="38" t="n"/>
      <c r="H902" s="59" t="n"/>
      <c r="I902" s="38" t="n"/>
      <c r="J902" s="39" t="n"/>
      <c r="K902" s="60">
        <f>IF(J902="","",SUMIFS(J$5:J902,D$5:D902,"Masuk")-SUMIFS(J$5:J902,D$5:D902,"Keluar"))</f>
        <v/>
      </c>
      <c r="L902" s="38" t="n"/>
      <c r="M902" s="38" t="n"/>
      <c r="N902" s="57">
        <f>IF(E902="","",IFERROR(IF(INDEX(Referensi!$B$5:$B$60,MATCH(E902,Referensi!$A$5:$A$60,0))=D902,"OK","Jenis tidak cocok"),"Kategori tidak dikenal"))</f>
        <v/>
      </c>
    </row>
    <row r="903" ht="15" customHeight="1" s="33">
      <c r="A903" s="57">
        <f>IF(B903="","",ROW()-4)</f>
        <v/>
      </c>
      <c r="B903" s="58" t="n"/>
      <c r="C903" s="38" t="n"/>
      <c r="D903" s="38" t="n"/>
      <c r="E903" s="38" t="n"/>
      <c r="F903" s="57">
        <f>IF(E903="","",IFERROR(INDEX(Referensi!$C$5:$C$60,MATCH(E903,Referensi!$A$5:$A$60,0)),"?"))</f>
        <v/>
      </c>
      <c r="G903" s="38" t="n"/>
      <c r="H903" s="59" t="n"/>
      <c r="I903" s="38" t="n"/>
      <c r="J903" s="39" t="n"/>
      <c r="K903" s="60">
        <f>IF(J903="","",SUMIFS(J$5:J903,D$5:D903,"Masuk")-SUMIFS(J$5:J903,D$5:D903,"Keluar"))</f>
        <v/>
      </c>
      <c r="L903" s="38" t="n"/>
      <c r="M903" s="38" t="n"/>
      <c r="N903" s="57">
        <f>IF(E903="","",IFERROR(IF(INDEX(Referensi!$B$5:$B$60,MATCH(E903,Referensi!$A$5:$A$60,0))=D903,"OK","Jenis tidak cocok"),"Kategori tidak dikenal"))</f>
        <v/>
      </c>
    </row>
    <row r="904" ht="15" customHeight="1" s="33">
      <c r="A904" s="57">
        <f>IF(B904="","",ROW()-4)</f>
        <v/>
      </c>
      <c r="B904" s="58" t="n"/>
      <c r="C904" s="38" t="n"/>
      <c r="D904" s="38" t="n"/>
      <c r="E904" s="38" t="n"/>
      <c r="F904" s="57">
        <f>IF(E904="","",IFERROR(INDEX(Referensi!$C$5:$C$60,MATCH(E904,Referensi!$A$5:$A$60,0)),"?"))</f>
        <v/>
      </c>
      <c r="G904" s="38" t="n"/>
      <c r="H904" s="59" t="n"/>
      <c r="I904" s="38" t="n"/>
      <c r="J904" s="39" t="n"/>
      <c r="K904" s="60">
        <f>IF(J904="","",SUMIFS(J$5:J904,D$5:D904,"Masuk")-SUMIFS(J$5:J904,D$5:D904,"Keluar"))</f>
        <v/>
      </c>
      <c r="L904" s="38" t="n"/>
      <c r="M904" s="38" t="n"/>
      <c r="N904" s="57">
        <f>IF(E904="","",IFERROR(IF(INDEX(Referensi!$B$5:$B$60,MATCH(E904,Referensi!$A$5:$A$60,0))=D904,"OK","Jenis tidak cocok"),"Kategori tidak dikenal"))</f>
        <v/>
      </c>
    </row>
    <row r="905" ht="15" customHeight="1" s="33">
      <c r="A905" s="57">
        <f>IF(B905="","",ROW()-4)</f>
        <v/>
      </c>
      <c r="B905" s="58" t="n"/>
      <c r="C905" s="38" t="n"/>
      <c r="D905" s="38" t="n"/>
      <c r="E905" s="38" t="n"/>
      <c r="F905" s="57">
        <f>IF(E905="","",IFERROR(INDEX(Referensi!$C$5:$C$60,MATCH(E905,Referensi!$A$5:$A$60,0)),"?"))</f>
        <v/>
      </c>
      <c r="G905" s="38" t="n"/>
      <c r="H905" s="59" t="n"/>
      <c r="I905" s="38" t="n"/>
      <c r="J905" s="39" t="n"/>
      <c r="K905" s="60">
        <f>IF(J905="","",SUMIFS(J$5:J905,D$5:D905,"Masuk")-SUMIFS(J$5:J905,D$5:D905,"Keluar"))</f>
        <v/>
      </c>
      <c r="L905" s="38" t="n"/>
      <c r="M905" s="38" t="n"/>
      <c r="N905" s="57">
        <f>IF(E905="","",IFERROR(IF(INDEX(Referensi!$B$5:$B$60,MATCH(E905,Referensi!$A$5:$A$60,0))=D905,"OK","Jenis tidak cocok"),"Kategori tidak dikenal"))</f>
        <v/>
      </c>
    </row>
    <row r="906" ht="15" customHeight="1" s="33">
      <c r="A906" s="57">
        <f>IF(B906="","",ROW()-4)</f>
        <v/>
      </c>
      <c r="B906" s="58" t="n"/>
      <c r="C906" s="38" t="n"/>
      <c r="D906" s="38" t="n"/>
      <c r="E906" s="38" t="n"/>
      <c r="F906" s="57">
        <f>IF(E906="","",IFERROR(INDEX(Referensi!$C$5:$C$60,MATCH(E906,Referensi!$A$5:$A$60,0)),"?"))</f>
        <v/>
      </c>
      <c r="G906" s="38" t="n"/>
      <c r="H906" s="59" t="n"/>
      <c r="I906" s="38" t="n"/>
      <c r="J906" s="39" t="n"/>
      <c r="K906" s="60">
        <f>IF(J906="","",SUMIFS(J$5:J906,D$5:D906,"Masuk")-SUMIFS(J$5:J906,D$5:D906,"Keluar"))</f>
        <v/>
      </c>
      <c r="L906" s="38" t="n"/>
      <c r="M906" s="38" t="n"/>
      <c r="N906" s="57">
        <f>IF(E906="","",IFERROR(IF(INDEX(Referensi!$B$5:$B$60,MATCH(E906,Referensi!$A$5:$A$60,0))=D906,"OK","Jenis tidak cocok"),"Kategori tidak dikenal"))</f>
        <v/>
      </c>
    </row>
    <row r="907" ht="15" customHeight="1" s="33">
      <c r="A907" s="57">
        <f>IF(B907="","",ROW()-4)</f>
        <v/>
      </c>
      <c r="B907" s="58" t="n"/>
      <c r="C907" s="38" t="n"/>
      <c r="D907" s="38" t="n"/>
      <c r="E907" s="38" t="n"/>
      <c r="F907" s="57">
        <f>IF(E907="","",IFERROR(INDEX(Referensi!$C$5:$C$60,MATCH(E907,Referensi!$A$5:$A$60,0)),"?"))</f>
        <v/>
      </c>
      <c r="G907" s="38" t="n"/>
      <c r="H907" s="59" t="n"/>
      <c r="I907" s="38" t="n"/>
      <c r="J907" s="39" t="n"/>
      <c r="K907" s="60">
        <f>IF(J907="","",SUMIFS(J$5:J907,D$5:D907,"Masuk")-SUMIFS(J$5:J907,D$5:D907,"Keluar"))</f>
        <v/>
      </c>
      <c r="L907" s="38" t="n"/>
      <c r="M907" s="38" t="n"/>
      <c r="N907" s="57">
        <f>IF(E907="","",IFERROR(IF(INDEX(Referensi!$B$5:$B$60,MATCH(E907,Referensi!$A$5:$A$60,0))=D907,"OK","Jenis tidak cocok"),"Kategori tidak dikenal"))</f>
        <v/>
      </c>
    </row>
    <row r="908" ht="15" customHeight="1" s="33">
      <c r="A908" s="57">
        <f>IF(B908="","",ROW()-4)</f>
        <v/>
      </c>
      <c r="B908" s="58" t="n"/>
      <c r="C908" s="38" t="n"/>
      <c r="D908" s="38" t="n"/>
      <c r="E908" s="38" t="n"/>
      <c r="F908" s="57">
        <f>IF(E908="","",IFERROR(INDEX(Referensi!$C$5:$C$60,MATCH(E908,Referensi!$A$5:$A$60,0)),"?"))</f>
        <v/>
      </c>
      <c r="G908" s="38" t="n"/>
      <c r="H908" s="59" t="n"/>
      <c r="I908" s="38" t="n"/>
      <c r="J908" s="39" t="n"/>
      <c r="K908" s="60">
        <f>IF(J908="","",SUMIFS(J$5:J908,D$5:D908,"Masuk")-SUMIFS(J$5:J908,D$5:D908,"Keluar"))</f>
        <v/>
      </c>
      <c r="L908" s="38" t="n"/>
      <c r="M908" s="38" t="n"/>
      <c r="N908" s="57">
        <f>IF(E908="","",IFERROR(IF(INDEX(Referensi!$B$5:$B$60,MATCH(E908,Referensi!$A$5:$A$60,0))=D908,"OK","Jenis tidak cocok"),"Kategori tidak dikenal"))</f>
        <v/>
      </c>
    </row>
    <row r="909" ht="15" customHeight="1" s="33">
      <c r="A909" s="57">
        <f>IF(B909="","",ROW()-4)</f>
        <v/>
      </c>
      <c r="B909" s="58" t="n"/>
      <c r="C909" s="38" t="n"/>
      <c r="D909" s="38" t="n"/>
      <c r="E909" s="38" t="n"/>
      <c r="F909" s="57">
        <f>IF(E909="","",IFERROR(INDEX(Referensi!$C$5:$C$60,MATCH(E909,Referensi!$A$5:$A$60,0)),"?"))</f>
        <v/>
      </c>
      <c r="G909" s="38" t="n"/>
      <c r="H909" s="59" t="n"/>
      <c r="I909" s="38" t="n"/>
      <c r="J909" s="39" t="n"/>
      <c r="K909" s="60">
        <f>IF(J909="","",SUMIFS(J$5:J909,D$5:D909,"Masuk")-SUMIFS(J$5:J909,D$5:D909,"Keluar"))</f>
        <v/>
      </c>
      <c r="L909" s="38" t="n"/>
      <c r="M909" s="38" t="n"/>
      <c r="N909" s="57">
        <f>IF(E909="","",IFERROR(IF(INDEX(Referensi!$B$5:$B$60,MATCH(E909,Referensi!$A$5:$A$60,0))=D909,"OK","Jenis tidak cocok"),"Kategori tidak dikenal"))</f>
        <v/>
      </c>
    </row>
    <row r="910" ht="15" customHeight="1" s="33">
      <c r="A910" s="57">
        <f>IF(B910="","",ROW()-4)</f>
        <v/>
      </c>
      <c r="B910" s="58" t="n"/>
      <c r="C910" s="38" t="n"/>
      <c r="D910" s="38" t="n"/>
      <c r="E910" s="38" t="n"/>
      <c r="F910" s="57">
        <f>IF(E910="","",IFERROR(INDEX(Referensi!$C$5:$C$60,MATCH(E910,Referensi!$A$5:$A$60,0)),"?"))</f>
        <v/>
      </c>
      <c r="G910" s="38" t="n"/>
      <c r="H910" s="59" t="n"/>
      <c r="I910" s="38" t="n"/>
      <c r="J910" s="39" t="n"/>
      <c r="K910" s="60">
        <f>IF(J910="","",SUMIFS(J$5:J910,D$5:D910,"Masuk")-SUMIFS(J$5:J910,D$5:D910,"Keluar"))</f>
        <v/>
      </c>
      <c r="L910" s="38" t="n"/>
      <c r="M910" s="38" t="n"/>
      <c r="N910" s="57">
        <f>IF(E910="","",IFERROR(IF(INDEX(Referensi!$B$5:$B$60,MATCH(E910,Referensi!$A$5:$A$60,0))=D910,"OK","Jenis tidak cocok"),"Kategori tidak dikenal"))</f>
        <v/>
      </c>
    </row>
    <row r="911" ht="15" customHeight="1" s="33">
      <c r="A911" s="57">
        <f>IF(B911="","",ROW()-4)</f>
        <v/>
      </c>
      <c r="B911" s="58" t="n"/>
      <c r="C911" s="38" t="n"/>
      <c r="D911" s="38" t="n"/>
      <c r="E911" s="38" t="n"/>
      <c r="F911" s="57">
        <f>IF(E911="","",IFERROR(INDEX(Referensi!$C$5:$C$60,MATCH(E911,Referensi!$A$5:$A$60,0)),"?"))</f>
        <v/>
      </c>
      <c r="G911" s="38" t="n"/>
      <c r="H911" s="59" t="n"/>
      <c r="I911" s="38" t="n"/>
      <c r="J911" s="39" t="n"/>
      <c r="K911" s="60">
        <f>IF(J911="","",SUMIFS(J$5:J911,D$5:D911,"Masuk")-SUMIFS(J$5:J911,D$5:D911,"Keluar"))</f>
        <v/>
      </c>
      <c r="L911" s="38" t="n"/>
      <c r="M911" s="38" t="n"/>
      <c r="N911" s="57">
        <f>IF(E911="","",IFERROR(IF(INDEX(Referensi!$B$5:$B$60,MATCH(E911,Referensi!$A$5:$A$60,0))=D911,"OK","Jenis tidak cocok"),"Kategori tidak dikenal"))</f>
        <v/>
      </c>
    </row>
    <row r="912" ht="15" customHeight="1" s="33">
      <c r="A912" s="57">
        <f>IF(B912="","",ROW()-4)</f>
        <v/>
      </c>
      <c r="B912" s="58" t="n"/>
      <c r="C912" s="38" t="n"/>
      <c r="D912" s="38" t="n"/>
      <c r="E912" s="38" t="n"/>
      <c r="F912" s="57">
        <f>IF(E912="","",IFERROR(INDEX(Referensi!$C$5:$C$60,MATCH(E912,Referensi!$A$5:$A$60,0)),"?"))</f>
        <v/>
      </c>
      <c r="G912" s="38" t="n"/>
      <c r="H912" s="59" t="n"/>
      <c r="I912" s="38" t="n"/>
      <c r="J912" s="39" t="n"/>
      <c r="K912" s="60">
        <f>IF(J912="","",SUMIFS(J$5:J912,D$5:D912,"Masuk")-SUMIFS(J$5:J912,D$5:D912,"Keluar"))</f>
        <v/>
      </c>
      <c r="L912" s="38" t="n"/>
      <c r="M912" s="38" t="n"/>
      <c r="N912" s="57">
        <f>IF(E912="","",IFERROR(IF(INDEX(Referensi!$B$5:$B$60,MATCH(E912,Referensi!$A$5:$A$60,0))=D912,"OK","Jenis tidak cocok"),"Kategori tidak dikenal"))</f>
        <v/>
      </c>
    </row>
    <row r="913" ht="15" customHeight="1" s="33">
      <c r="A913" s="57">
        <f>IF(B913="","",ROW()-4)</f>
        <v/>
      </c>
      <c r="B913" s="58" t="n"/>
      <c r="C913" s="38" t="n"/>
      <c r="D913" s="38" t="n"/>
      <c r="E913" s="38" t="n"/>
      <c r="F913" s="57">
        <f>IF(E913="","",IFERROR(INDEX(Referensi!$C$5:$C$60,MATCH(E913,Referensi!$A$5:$A$60,0)),"?"))</f>
        <v/>
      </c>
      <c r="G913" s="38" t="n"/>
      <c r="H913" s="59" t="n"/>
      <c r="I913" s="38" t="n"/>
      <c r="J913" s="39" t="n"/>
      <c r="K913" s="60">
        <f>IF(J913="","",SUMIFS(J$5:J913,D$5:D913,"Masuk")-SUMIFS(J$5:J913,D$5:D913,"Keluar"))</f>
        <v/>
      </c>
      <c r="L913" s="38" t="n"/>
      <c r="M913" s="38" t="n"/>
      <c r="N913" s="57">
        <f>IF(E913="","",IFERROR(IF(INDEX(Referensi!$B$5:$B$60,MATCH(E913,Referensi!$A$5:$A$60,0))=D913,"OK","Jenis tidak cocok"),"Kategori tidak dikenal"))</f>
        <v/>
      </c>
    </row>
    <row r="914" ht="15" customHeight="1" s="33">
      <c r="A914" s="57">
        <f>IF(B914="","",ROW()-4)</f>
        <v/>
      </c>
      <c r="B914" s="58" t="n"/>
      <c r="C914" s="38" t="n"/>
      <c r="D914" s="38" t="n"/>
      <c r="E914" s="38" t="n"/>
      <c r="F914" s="57">
        <f>IF(E914="","",IFERROR(INDEX(Referensi!$C$5:$C$60,MATCH(E914,Referensi!$A$5:$A$60,0)),"?"))</f>
        <v/>
      </c>
      <c r="G914" s="38" t="n"/>
      <c r="H914" s="59" t="n"/>
      <c r="I914" s="38" t="n"/>
      <c r="J914" s="39" t="n"/>
      <c r="K914" s="60">
        <f>IF(J914="","",SUMIFS(J$5:J914,D$5:D914,"Masuk")-SUMIFS(J$5:J914,D$5:D914,"Keluar"))</f>
        <v/>
      </c>
      <c r="L914" s="38" t="n"/>
      <c r="M914" s="38" t="n"/>
      <c r="N914" s="57">
        <f>IF(E914="","",IFERROR(IF(INDEX(Referensi!$B$5:$B$60,MATCH(E914,Referensi!$A$5:$A$60,0))=D914,"OK","Jenis tidak cocok"),"Kategori tidak dikenal"))</f>
        <v/>
      </c>
    </row>
    <row r="915" ht="15" customHeight="1" s="33">
      <c r="A915" s="57">
        <f>IF(B915="","",ROW()-4)</f>
        <v/>
      </c>
      <c r="B915" s="58" t="n"/>
      <c r="C915" s="38" t="n"/>
      <c r="D915" s="38" t="n"/>
      <c r="E915" s="38" t="n"/>
      <c r="F915" s="57">
        <f>IF(E915="","",IFERROR(INDEX(Referensi!$C$5:$C$60,MATCH(E915,Referensi!$A$5:$A$60,0)),"?"))</f>
        <v/>
      </c>
      <c r="G915" s="38" t="n"/>
      <c r="H915" s="59" t="n"/>
      <c r="I915" s="38" t="n"/>
      <c r="J915" s="39" t="n"/>
      <c r="K915" s="60">
        <f>IF(J915="","",SUMIFS(J$5:J915,D$5:D915,"Masuk")-SUMIFS(J$5:J915,D$5:D915,"Keluar"))</f>
        <v/>
      </c>
      <c r="L915" s="38" t="n"/>
      <c r="M915" s="38" t="n"/>
      <c r="N915" s="57">
        <f>IF(E915="","",IFERROR(IF(INDEX(Referensi!$B$5:$B$60,MATCH(E915,Referensi!$A$5:$A$60,0))=D915,"OK","Jenis tidak cocok"),"Kategori tidak dikenal"))</f>
        <v/>
      </c>
    </row>
    <row r="916" ht="15" customHeight="1" s="33">
      <c r="A916" s="57">
        <f>IF(B916="","",ROW()-4)</f>
        <v/>
      </c>
      <c r="B916" s="58" t="n"/>
      <c r="C916" s="38" t="n"/>
      <c r="D916" s="38" t="n"/>
      <c r="E916" s="38" t="n"/>
      <c r="F916" s="57">
        <f>IF(E916="","",IFERROR(INDEX(Referensi!$C$5:$C$60,MATCH(E916,Referensi!$A$5:$A$60,0)),"?"))</f>
        <v/>
      </c>
      <c r="G916" s="38" t="n"/>
      <c r="H916" s="59" t="n"/>
      <c r="I916" s="38" t="n"/>
      <c r="J916" s="39" t="n"/>
      <c r="K916" s="60">
        <f>IF(J916="","",SUMIFS(J$5:J916,D$5:D916,"Masuk")-SUMIFS(J$5:J916,D$5:D916,"Keluar"))</f>
        <v/>
      </c>
      <c r="L916" s="38" t="n"/>
      <c r="M916" s="38" t="n"/>
      <c r="N916" s="57">
        <f>IF(E916="","",IFERROR(IF(INDEX(Referensi!$B$5:$B$60,MATCH(E916,Referensi!$A$5:$A$60,0))=D916,"OK","Jenis tidak cocok"),"Kategori tidak dikenal"))</f>
        <v/>
      </c>
    </row>
    <row r="917" ht="15" customHeight="1" s="33">
      <c r="A917" s="57">
        <f>IF(B917="","",ROW()-4)</f>
        <v/>
      </c>
      <c r="B917" s="58" t="n"/>
      <c r="C917" s="38" t="n"/>
      <c r="D917" s="38" t="n"/>
      <c r="E917" s="38" t="n"/>
      <c r="F917" s="57">
        <f>IF(E917="","",IFERROR(INDEX(Referensi!$C$5:$C$60,MATCH(E917,Referensi!$A$5:$A$60,0)),"?"))</f>
        <v/>
      </c>
      <c r="G917" s="38" t="n"/>
      <c r="H917" s="59" t="n"/>
      <c r="I917" s="38" t="n"/>
      <c r="J917" s="39" t="n"/>
      <c r="K917" s="60">
        <f>IF(J917="","",SUMIFS(J$5:J917,D$5:D917,"Masuk")-SUMIFS(J$5:J917,D$5:D917,"Keluar"))</f>
        <v/>
      </c>
      <c r="L917" s="38" t="n"/>
      <c r="M917" s="38" t="n"/>
      <c r="N917" s="57">
        <f>IF(E917="","",IFERROR(IF(INDEX(Referensi!$B$5:$B$60,MATCH(E917,Referensi!$A$5:$A$60,0))=D917,"OK","Jenis tidak cocok"),"Kategori tidak dikenal"))</f>
        <v/>
      </c>
    </row>
    <row r="918" ht="15" customHeight="1" s="33">
      <c r="A918" s="57">
        <f>IF(B918="","",ROW()-4)</f>
        <v/>
      </c>
      <c r="B918" s="58" t="n"/>
      <c r="C918" s="38" t="n"/>
      <c r="D918" s="38" t="n"/>
      <c r="E918" s="38" t="n"/>
      <c r="F918" s="57">
        <f>IF(E918="","",IFERROR(INDEX(Referensi!$C$5:$C$60,MATCH(E918,Referensi!$A$5:$A$60,0)),"?"))</f>
        <v/>
      </c>
      <c r="G918" s="38" t="n"/>
      <c r="H918" s="59" t="n"/>
      <c r="I918" s="38" t="n"/>
      <c r="J918" s="39" t="n"/>
      <c r="K918" s="60">
        <f>IF(J918="","",SUMIFS(J$5:J918,D$5:D918,"Masuk")-SUMIFS(J$5:J918,D$5:D918,"Keluar"))</f>
        <v/>
      </c>
      <c r="L918" s="38" t="n"/>
      <c r="M918" s="38" t="n"/>
      <c r="N918" s="57">
        <f>IF(E918="","",IFERROR(IF(INDEX(Referensi!$B$5:$B$60,MATCH(E918,Referensi!$A$5:$A$60,0))=D918,"OK","Jenis tidak cocok"),"Kategori tidak dikenal"))</f>
        <v/>
      </c>
    </row>
    <row r="919" ht="15" customHeight="1" s="33">
      <c r="A919" s="57">
        <f>IF(B919="","",ROW()-4)</f>
        <v/>
      </c>
      <c r="B919" s="58" t="n"/>
      <c r="C919" s="38" t="n"/>
      <c r="D919" s="38" t="n"/>
      <c r="E919" s="38" t="n"/>
      <c r="F919" s="57">
        <f>IF(E919="","",IFERROR(INDEX(Referensi!$C$5:$C$60,MATCH(E919,Referensi!$A$5:$A$60,0)),"?"))</f>
        <v/>
      </c>
      <c r="G919" s="38" t="n"/>
      <c r="H919" s="59" t="n"/>
      <c r="I919" s="38" t="n"/>
      <c r="J919" s="39" t="n"/>
      <c r="K919" s="60">
        <f>IF(J919="","",SUMIFS(J$5:J919,D$5:D919,"Masuk")-SUMIFS(J$5:J919,D$5:D919,"Keluar"))</f>
        <v/>
      </c>
      <c r="L919" s="38" t="n"/>
      <c r="M919" s="38" t="n"/>
      <c r="N919" s="57">
        <f>IF(E919="","",IFERROR(IF(INDEX(Referensi!$B$5:$B$60,MATCH(E919,Referensi!$A$5:$A$60,0))=D919,"OK","Jenis tidak cocok"),"Kategori tidak dikenal"))</f>
        <v/>
      </c>
    </row>
    <row r="920" ht="15" customHeight="1" s="33">
      <c r="A920" s="57">
        <f>IF(B920="","",ROW()-4)</f>
        <v/>
      </c>
      <c r="B920" s="58" t="n"/>
      <c r="C920" s="38" t="n"/>
      <c r="D920" s="38" t="n"/>
      <c r="E920" s="38" t="n"/>
      <c r="F920" s="57">
        <f>IF(E920="","",IFERROR(INDEX(Referensi!$C$5:$C$60,MATCH(E920,Referensi!$A$5:$A$60,0)),"?"))</f>
        <v/>
      </c>
      <c r="G920" s="38" t="n"/>
      <c r="H920" s="59" t="n"/>
      <c r="I920" s="38" t="n"/>
      <c r="J920" s="39" t="n"/>
      <c r="K920" s="60">
        <f>IF(J920="","",SUMIFS(J$5:J920,D$5:D920,"Masuk")-SUMIFS(J$5:J920,D$5:D920,"Keluar"))</f>
        <v/>
      </c>
      <c r="L920" s="38" t="n"/>
      <c r="M920" s="38" t="n"/>
      <c r="N920" s="57">
        <f>IF(E920="","",IFERROR(IF(INDEX(Referensi!$B$5:$B$60,MATCH(E920,Referensi!$A$5:$A$60,0))=D920,"OK","Jenis tidak cocok"),"Kategori tidak dikenal"))</f>
        <v/>
      </c>
    </row>
    <row r="921" ht="15" customHeight="1" s="33">
      <c r="A921" s="57">
        <f>IF(B921="","",ROW()-4)</f>
        <v/>
      </c>
      <c r="B921" s="58" t="n"/>
      <c r="C921" s="38" t="n"/>
      <c r="D921" s="38" t="n"/>
      <c r="E921" s="38" t="n"/>
      <c r="F921" s="57">
        <f>IF(E921="","",IFERROR(INDEX(Referensi!$C$5:$C$60,MATCH(E921,Referensi!$A$5:$A$60,0)),"?"))</f>
        <v/>
      </c>
      <c r="G921" s="38" t="n"/>
      <c r="H921" s="59" t="n"/>
      <c r="I921" s="38" t="n"/>
      <c r="J921" s="39" t="n"/>
      <c r="K921" s="60">
        <f>IF(J921="","",SUMIFS(J$5:J921,D$5:D921,"Masuk")-SUMIFS(J$5:J921,D$5:D921,"Keluar"))</f>
        <v/>
      </c>
      <c r="L921" s="38" t="n"/>
      <c r="M921" s="38" t="n"/>
      <c r="N921" s="57">
        <f>IF(E921="","",IFERROR(IF(INDEX(Referensi!$B$5:$B$60,MATCH(E921,Referensi!$A$5:$A$60,0))=D921,"OK","Jenis tidak cocok"),"Kategori tidak dikenal"))</f>
        <v/>
      </c>
    </row>
    <row r="922" ht="15" customHeight="1" s="33">
      <c r="A922" s="57">
        <f>IF(B922="","",ROW()-4)</f>
        <v/>
      </c>
      <c r="B922" s="58" t="n"/>
      <c r="C922" s="38" t="n"/>
      <c r="D922" s="38" t="n"/>
      <c r="E922" s="38" t="n"/>
      <c r="F922" s="57">
        <f>IF(E922="","",IFERROR(INDEX(Referensi!$C$5:$C$60,MATCH(E922,Referensi!$A$5:$A$60,0)),"?"))</f>
        <v/>
      </c>
      <c r="G922" s="38" t="n"/>
      <c r="H922" s="59" t="n"/>
      <c r="I922" s="38" t="n"/>
      <c r="J922" s="39" t="n"/>
      <c r="K922" s="60">
        <f>IF(J922="","",SUMIFS(J$5:J922,D$5:D922,"Masuk")-SUMIFS(J$5:J922,D$5:D922,"Keluar"))</f>
        <v/>
      </c>
      <c r="L922" s="38" t="n"/>
      <c r="M922" s="38" t="n"/>
      <c r="N922" s="57">
        <f>IF(E922="","",IFERROR(IF(INDEX(Referensi!$B$5:$B$60,MATCH(E922,Referensi!$A$5:$A$60,0))=D922,"OK","Jenis tidak cocok"),"Kategori tidak dikenal"))</f>
        <v/>
      </c>
    </row>
    <row r="923" ht="15" customHeight="1" s="33">
      <c r="A923" s="57">
        <f>IF(B923="","",ROW()-4)</f>
        <v/>
      </c>
      <c r="B923" s="58" t="n"/>
      <c r="C923" s="38" t="n"/>
      <c r="D923" s="38" t="n"/>
      <c r="E923" s="38" t="n"/>
      <c r="F923" s="57">
        <f>IF(E923="","",IFERROR(INDEX(Referensi!$C$5:$C$60,MATCH(E923,Referensi!$A$5:$A$60,0)),"?"))</f>
        <v/>
      </c>
      <c r="G923" s="38" t="n"/>
      <c r="H923" s="59" t="n"/>
      <c r="I923" s="38" t="n"/>
      <c r="J923" s="39" t="n"/>
      <c r="K923" s="60">
        <f>IF(J923="","",SUMIFS(J$5:J923,D$5:D923,"Masuk")-SUMIFS(J$5:J923,D$5:D923,"Keluar"))</f>
        <v/>
      </c>
      <c r="L923" s="38" t="n"/>
      <c r="M923" s="38" t="n"/>
      <c r="N923" s="57">
        <f>IF(E923="","",IFERROR(IF(INDEX(Referensi!$B$5:$B$60,MATCH(E923,Referensi!$A$5:$A$60,0))=D923,"OK","Jenis tidak cocok"),"Kategori tidak dikenal"))</f>
        <v/>
      </c>
    </row>
    <row r="924" ht="15" customHeight="1" s="33">
      <c r="A924" s="57">
        <f>IF(B924="","",ROW()-4)</f>
        <v/>
      </c>
      <c r="B924" s="58" t="n"/>
      <c r="C924" s="38" t="n"/>
      <c r="D924" s="38" t="n"/>
      <c r="E924" s="38" t="n"/>
      <c r="F924" s="57">
        <f>IF(E924="","",IFERROR(INDEX(Referensi!$C$5:$C$60,MATCH(E924,Referensi!$A$5:$A$60,0)),"?"))</f>
        <v/>
      </c>
      <c r="G924" s="38" t="n"/>
      <c r="H924" s="59" t="n"/>
      <c r="I924" s="38" t="n"/>
      <c r="J924" s="39" t="n"/>
      <c r="K924" s="60">
        <f>IF(J924="","",SUMIFS(J$5:J924,D$5:D924,"Masuk")-SUMIFS(J$5:J924,D$5:D924,"Keluar"))</f>
        <v/>
      </c>
      <c r="L924" s="38" t="n"/>
      <c r="M924" s="38" t="n"/>
      <c r="N924" s="57">
        <f>IF(E924="","",IFERROR(IF(INDEX(Referensi!$B$5:$B$60,MATCH(E924,Referensi!$A$5:$A$60,0))=D924,"OK","Jenis tidak cocok"),"Kategori tidak dikenal"))</f>
        <v/>
      </c>
    </row>
    <row r="925" ht="15" customHeight="1" s="33">
      <c r="A925" s="57">
        <f>IF(B925="","",ROW()-4)</f>
        <v/>
      </c>
      <c r="B925" s="58" t="n"/>
      <c r="C925" s="38" t="n"/>
      <c r="D925" s="38" t="n"/>
      <c r="E925" s="38" t="n"/>
      <c r="F925" s="57">
        <f>IF(E925="","",IFERROR(INDEX(Referensi!$C$5:$C$60,MATCH(E925,Referensi!$A$5:$A$60,0)),"?"))</f>
        <v/>
      </c>
      <c r="G925" s="38" t="n"/>
      <c r="H925" s="59" t="n"/>
      <c r="I925" s="38" t="n"/>
      <c r="J925" s="39" t="n"/>
      <c r="K925" s="60">
        <f>IF(J925="","",SUMIFS(J$5:J925,D$5:D925,"Masuk")-SUMIFS(J$5:J925,D$5:D925,"Keluar"))</f>
        <v/>
      </c>
      <c r="L925" s="38" t="n"/>
      <c r="M925" s="38" t="n"/>
      <c r="N925" s="57">
        <f>IF(E925="","",IFERROR(IF(INDEX(Referensi!$B$5:$B$60,MATCH(E925,Referensi!$A$5:$A$60,0))=D925,"OK","Jenis tidak cocok"),"Kategori tidak dikenal"))</f>
        <v/>
      </c>
    </row>
    <row r="926" ht="15" customHeight="1" s="33">
      <c r="A926" s="57">
        <f>IF(B926="","",ROW()-4)</f>
        <v/>
      </c>
      <c r="B926" s="58" t="n"/>
      <c r="C926" s="38" t="n"/>
      <c r="D926" s="38" t="n"/>
      <c r="E926" s="38" t="n"/>
      <c r="F926" s="57">
        <f>IF(E926="","",IFERROR(INDEX(Referensi!$C$5:$C$60,MATCH(E926,Referensi!$A$5:$A$60,0)),"?"))</f>
        <v/>
      </c>
      <c r="G926" s="38" t="n"/>
      <c r="H926" s="59" t="n"/>
      <c r="I926" s="38" t="n"/>
      <c r="J926" s="39" t="n"/>
      <c r="K926" s="60">
        <f>IF(J926="","",SUMIFS(J$5:J926,D$5:D926,"Masuk")-SUMIFS(J$5:J926,D$5:D926,"Keluar"))</f>
        <v/>
      </c>
      <c r="L926" s="38" t="n"/>
      <c r="M926" s="38" t="n"/>
      <c r="N926" s="57">
        <f>IF(E926="","",IFERROR(IF(INDEX(Referensi!$B$5:$B$60,MATCH(E926,Referensi!$A$5:$A$60,0))=D926,"OK","Jenis tidak cocok"),"Kategori tidak dikenal"))</f>
        <v/>
      </c>
    </row>
    <row r="927" ht="15" customHeight="1" s="33">
      <c r="A927" s="57">
        <f>IF(B927="","",ROW()-4)</f>
        <v/>
      </c>
      <c r="B927" s="58" t="n"/>
      <c r="C927" s="38" t="n"/>
      <c r="D927" s="38" t="n"/>
      <c r="E927" s="38" t="n"/>
      <c r="F927" s="57">
        <f>IF(E927="","",IFERROR(INDEX(Referensi!$C$5:$C$60,MATCH(E927,Referensi!$A$5:$A$60,0)),"?"))</f>
        <v/>
      </c>
      <c r="G927" s="38" t="n"/>
      <c r="H927" s="59" t="n"/>
      <c r="I927" s="38" t="n"/>
      <c r="J927" s="39" t="n"/>
      <c r="K927" s="60">
        <f>IF(J927="","",SUMIFS(J$5:J927,D$5:D927,"Masuk")-SUMIFS(J$5:J927,D$5:D927,"Keluar"))</f>
        <v/>
      </c>
      <c r="L927" s="38" t="n"/>
      <c r="M927" s="38" t="n"/>
      <c r="N927" s="57">
        <f>IF(E927="","",IFERROR(IF(INDEX(Referensi!$B$5:$B$60,MATCH(E927,Referensi!$A$5:$A$60,0))=D927,"OK","Jenis tidak cocok"),"Kategori tidak dikenal"))</f>
        <v/>
      </c>
    </row>
    <row r="928" ht="15" customHeight="1" s="33">
      <c r="A928" s="57">
        <f>IF(B928="","",ROW()-4)</f>
        <v/>
      </c>
      <c r="B928" s="58" t="n"/>
      <c r="C928" s="38" t="n"/>
      <c r="D928" s="38" t="n"/>
      <c r="E928" s="38" t="n"/>
      <c r="F928" s="57">
        <f>IF(E928="","",IFERROR(INDEX(Referensi!$C$5:$C$60,MATCH(E928,Referensi!$A$5:$A$60,0)),"?"))</f>
        <v/>
      </c>
      <c r="G928" s="38" t="n"/>
      <c r="H928" s="59" t="n"/>
      <c r="I928" s="38" t="n"/>
      <c r="J928" s="39" t="n"/>
      <c r="K928" s="60">
        <f>IF(J928="","",SUMIFS(J$5:J928,D$5:D928,"Masuk")-SUMIFS(J$5:J928,D$5:D928,"Keluar"))</f>
        <v/>
      </c>
      <c r="L928" s="38" t="n"/>
      <c r="M928" s="38" t="n"/>
      <c r="N928" s="57">
        <f>IF(E928="","",IFERROR(IF(INDEX(Referensi!$B$5:$B$60,MATCH(E928,Referensi!$A$5:$A$60,0))=D928,"OK","Jenis tidak cocok"),"Kategori tidak dikenal"))</f>
        <v/>
      </c>
    </row>
    <row r="929" ht="15" customHeight="1" s="33">
      <c r="A929" s="57">
        <f>IF(B929="","",ROW()-4)</f>
        <v/>
      </c>
      <c r="B929" s="58" t="n"/>
      <c r="C929" s="38" t="n"/>
      <c r="D929" s="38" t="n"/>
      <c r="E929" s="38" t="n"/>
      <c r="F929" s="57">
        <f>IF(E929="","",IFERROR(INDEX(Referensi!$C$5:$C$60,MATCH(E929,Referensi!$A$5:$A$60,0)),"?"))</f>
        <v/>
      </c>
      <c r="G929" s="38" t="n"/>
      <c r="H929" s="59" t="n"/>
      <c r="I929" s="38" t="n"/>
      <c r="J929" s="39" t="n"/>
      <c r="K929" s="60">
        <f>IF(J929="","",SUMIFS(J$5:J929,D$5:D929,"Masuk")-SUMIFS(J$5:J929,D$5:D929,"Keluar"))</f>
        <v/>
      </c>
      <c r="L929" s="38" t="n"/>
      <c r="M929" s="38" t="n"/>
      <c r="N929" s="57">
        <f>IF(E929="","",IFERROR(IF(INDEX(Referensi!$B$5:$B$60,MATCH(E929,Referensi!$A$5:$A$60,0))=D929,"OK","Jenis tidak cocok"),"Kategori tidak dikenal"))</f>
        <v/>
      </c>
    </row>
    <row r="930" ht="15" customHeight="1" s="33">
      <c r="A930" s="57">
        <f>IF(B930="","",ROW()-4)</f>
        <v/>
      </c>
      <c r="B930" s="58" t="n"/>
      <c r="C930" s="38" t="n"/>
      <c r="D930" s="38" t="n"/>
      <c r="E930" s="38" t="n"/>
      <c r="F930" s="57">
        <f>IF(E930="","",IFERROR(INDEX(Referensi!$C$5:$C$60,MATCH(E930,Referensi!$A$5:$A$60,0)),"?"))</f>
        <v/>
      </c>
      <c r="G930" s="38" t="n"/>
      <c r="H930" s="59" t="n"/>
      <c r="I930" s="38" t="n"/>
      <c r="J930" s="39" t="n"/>
      <c r="K930" s="60">
        <f>IF(J930="","",SUMIFS(J$5:J930,D$5:D930,"Masuk")-SUMIFS(J$5:J930,D$5:D930,"Keluar"))</f>
        <v/>
      </c>
      <c r="L930" s="38" t="n"/>
      <c r="M930" s="38" t="n"/>
      <c r="N930" s="57">
        <f>IF(E930="","",IFERROR(IF(INDEX(Referensi!$B$5:$B$60,MATCH(E930,Referensi!$A$5:$A$60,0))=D930,"OK","Jenis tidak cocok"),"Kategori tidak dikenal"))</f>
        <v/>
      </c>
    </row>
    <row r="931" ht="15" customHeight="1" s="33">
      <c r="A931" s="57">
        <f>IF(B931="","",ROW()-4)</f>
        <v/>
      </c>
      <c r="B931" s="58" t="n"/>
      <c r="C931" s="38" t="n"/>
      <c r="D931" s="38" t="n"/>
      <c r="E931" s="38" t="n"/>
      <c r="F931" s="57">
        <f>IF(E931="","",IFERROR(INDEX(Referensi!$C$5:$C$60,MATCH(E931,Referensi!$A$5:$A$60,0)),"?"))</f>
        <v/>
      </c>
      <c r="G931" s="38" t="n"/>
      <c r="H931" s="59" t="n"/>
      <c r="I931" s="38" t="n"/>
      <c r="J931" s="39" t="n"/>
      <c r="K931" s="60">
        <f>IF(J931="","",SUMIFS(J$5:J931,D$5:D931,"Masuk")-SUMIFS(J$5:J931,D$5:D931,"Keluar"))</f>
        <v/>
      </c>
      <c r="L931" s="38" t="n"/>
      <c r="M931" s="38" t="n"/>
      <c r="N931" s="57">
        <f>IF(E931="","",IFERROR(IF(INDEX(Referensi!$B$5:$B$60,MATCH(E931,Referensi!$A$5:$A$60,0))=D931,"OK","Jenis tidak cocok"),"Kategori tidak dikenal"))</f>
        <v/>
      </c>
    </row>
    <row r="932" ht="15" customHeight="1" s="33">
      <c r="A932" s="57">
        <f>IF(B932="","",ROW()-4)</f>
        <v/>
      </c>
      <c r="B932" s="58" t="n"/>
      <c r="C932" s="38" t="n"/>
      <c r="D932" s="38" t="n"/>
      <c r="E932" s="38" t="n"/>
      <c r="F932" s="57">
        <f>IF(E932="","",IFERROR(INDEX(Referensi!$C$5:$C$60,MATCH(E932,Referensi!$A$5:$A$60,0)),"?"))</f>
        <v/>
      </c>
      <c r="G932" s="38" t="n"/>
      <c r="H932" s="59" t="n"/>
      <c r="I932" s="38" t="n"/>
      <c r="J932" s="39" t="n"/>
      <c r="K932" s="60">
        <f>IF(J932="","",SUMIFS(J$5:J932,D$5:D932,"Masuk")-SUMIFS(J$5:J932,D$5:D932,"Keluar"))</f>
        <v/>
      </c>
      <c r="L932" s="38" t="n"/>
      <c r="M932" s="38" t="n"/>
      <c r="N932" s="57">
        <f>IF(E932="","",IFERROR(IF(INDEX(Referensi!$B$5:$B$60,MATCH(E932,Referensi!$A$5:$A$60,0))=D932,"OK","Jenis tidak cocok"),"Kategori tidak dikenal"))</f>
        <v/>
      </c>
    </row>
    <row r="933" ht="15" customHeight="1" s="33">
      <c r="A933" s="57">
        <f>IF(B933="","",ROW()-4)</f>
        <v/>
      </c>
      <c r="B933" s="58" t="n"/>
      <c r="C933" s="38" t="n"/>
      <c r="D933" s="38" t="n"/>
      <c r="E933" s="38" t="n"/>
      <c r="F933" s="57">
        <f>IF(E933="","",IFERROR(INDEX(Referensi!$C$5:$C$60,MATCH(E933,Referensi!$A$5:$A$60,0)),"?"))</f>
        <v/>
      </c>
      <c r="G933" s="38" t="n"/>
      <c r="H933" s="59" t="n"/>
      <c r="I933" s="38" t="n"/>
      <c r="J933" s="39" t="n"/>
      <c r="K933" s="60">
        <f>IF(J933="","",SUMIFS(J$5:J933,D$5:D933,"Masuk")-SUMIFS(J$5:J933,D$5:D933,"Keluar"))</f>
        <v/>
      </c>
      <c r="L933" s="38" t="n"/>
      <c r="M933" s="38" t="n"/>
      <c r="N933" s="57">
        <f>IF(E933="","",IFERROR(IF(INDEX(Referensi!$B$5:$B$60,MATCH(E933,Referensi!$A$5:$A$60,0))=D933,"OK","Jenis tidak cocok"),"Kategori tidak dikenal"))</f>
        <v/>
      </c>
    </row>
    <row r="934" ht="15" customHeight="1" s="33">
      <c r="A934" s="57">
        <f>IF(B934="","",ROW()-4)</f>
        <v/>
      </c>
      <c r="B934" s="58" t="n"/>
      <c r="C934" s="38" t="n"/>
      <c r="D934" s="38" t="n"/>
      <c r="E934" s="38" t="n"/>
      <c r="F934" s="57">
        <f>IF(E934="","",IFERROR(INDEX(Referensi!$C$5:$C$60,MATCH(E934,Referensi!$A$5:$A$60,0)),"?"))</f>
        <v/>
      </c>
      <c r="G934" s="38" t="n"/>
      <c r="H934" s="59" t="n"/>
      <c r="I934" s="38" t="n"/>
      <c r="J934" s="39" t="n"/>
      <c r="K934" s="60">
        <f>IF(J934="","",SUMIFS(J$5:J934,D$5:D934,"Masuk")-SUMIFS(J$5:J934,D$5:D934,"Keluar"))</f>
        <v/>
      </c>
      <c r="L934" s="38" t="n"/>
      <c r="M934" s="38" t="n"/>
      <c r="N934" s="57">
        <f>IF(E934="","",IFERROR(IF(INDEX(Referensi!$B$5:$B$60,MATCH(E934,Referensi!$A$5:$A$60,0))=D934,"OK","Jenis tidak cocok"),"Kategori tidak dikenal"))</f>
        <v/>
      </c>
    </row>
    <row r="935" ht="15" customHeight="1" s="33">
      <c r="A935" s="57">
        <f>IF(B935="","",ROW()-4)</f>
        <v/>
      </c>
      <c r="B935" s="58" t="n"/>
      <c r="C935" s="38" t="n"/>
      <c r="D935" s="38" t="n"/>
      <c r="E935" s="38" t="n"/>
      <c r="F935" s="57">
        <f>IF(E935="","",IFERROR(INDEX(Referensi!$C$5:$C$60,MATCH(E935,Referensi!$A$5:$A$60,0)),"?"))</f>
        <v/>
      </c>
      <c r="G935" s="38" t="n"/>
      <c r="H935" s="59" t="n"/>
      <c r="I935" s="38" t="n"/>
      <c r="J935" s="39" t="n"/>
      <c r="K935" s="60">
        <f>IF(J935="","",SUMIFS(J$5:J935,D$5:D935,"Masuk")-SUMIFS(J$5:J935,D$5:D935,"Keluar"))</f>
        <v/>
      </c>
      <c r="L935" s="38" t="n"/>
      <c r="M935" s="38" t="n"/>
      <c r="N935" s="57">
        <f>IF(E935="","",IFERROR(IF(INDEX(Referensi!$B$5:$B$60,MATCH(E935,Referensi!$A$5:$A$60,0))=D935,"OK","Jenis tidak cocok"),"Kategori tidak dikenal"))</f>
        <v/>
      </c>
    </row>
    <row r="936" ht="15" customHeight="1" s="33">
      <c r="A936" s="57">
        <f>IF(B936="","",ROW()-4)</f>
        <v/>
      </c>
      <c r="B936" s="58" t="n"/>
      <c r="C936" s="38" t="n"/>
      <c r="D936" s="38" t="n"/>
      <c r="E936" s="38" t="n"/>
      <c r="F936" s="57">
        <f>IF(E936="","",IFERROR(INDEX(Referensi!$C$5:$C$60,MATCH(E936,Referensi!$A$5:$A$60,0)),"?"))</f>
        <v/>
      </c>
      <c r="G936" s="38" t="n"/>
      <c r="H936" s="59" t="n"/>
      <c r="I936" s="38" t="n"/>
      <c r="J936" s="39" t="n"/>
      <c r="K936" s="60">
        <f>IF(J936="","",SUMIFS(J$5:J936,D$5:D936,"Masuk")-SUMIFS(J$5:J936,D$5:D936,"Keluar"))</f>
        <v/>
      </c>
      <c r="L936" s="38" t="n"/>
      <c r="M936" s="38" t="n"/>
      <c r="N936" s="57">
        <f>IF(E936="","",IFERROR(IF(INDEX(Referensi!$B$5:$B$60,MATCH(E936,Referensi!$A$5:$A$60,0))=D936,"OK","Jenis tidak cocok"),"Kategori tidak dikenal"))</f>
        <v/>
      </c>
    </row>
    <row r="937" ht="15" customHeight="1" s="33">
      <c r="A937" s="57">
        <f>IF(B937="","",ROW()-4)</f>
        <v/>
      </c>
      <c r="B937" s="58" t="n"/>
      <c r="C937" s="38" t="n"/>
      <c r="D937" s="38" t="n"/>
      <c r="E937" s="38" t="n"/>
      <c r="F937" s="57">
        <f>IF(E937="","",IFERROR(INDEX(Referensi!$C$5:$C$60,MATCH(E937,Referensi!$A$5:$A$60,0)),"?"))</f>
        <v/>
      </c>
      <c r="G937" s="38" t="n"/>
      <c r="H937" s="59" t="n"/>
      <c r="I937" s="38" t="n"/>
      <c r="J937" s="39" t="n"/>
      <c r="K937" s="60">
        <f>IF(J937="","",SUMIFS(J$5:J937,D$5:D937,"Masuk")-SUMIFS(J$5:J937,D$5:D937,"Keluar"))</f>
        <v/>
      </c>
      <c r="L937" s="38" t="n"/>
      <c r="M937" s="38" t="n"/>
      <c r="N937" s="57">
        <f>IF(E937="","",IFERROR(IF(INDEX(Referensi!$B$5:$B$60,MATCH(E937,Referensi!$A$5:$A$60,0))=D937,"OK","Jenis tidak cocok"),"Kategori tidak dikenal"))</f>
        <v/>
      </c>
    </row>
    <row r="938" ht="15" customHeight="1" s="33">
      <c r="A938" s="57">
        <f>IF(B938="","",ROW()-4)</f>
        <v/>
      </c>
      <c r="B938" s="58" t="n"/>
      <c r="C938" s="38" t="n"/>
      <c r="D938" s="38" t="n"/>
      <c r="E938" s="38" t="n"/>
      <c r="F938" s="57">
        <f>IF(E938="","",IFERROR(INDEX(Referensi!$C$5:$C$60,MATCH(E938,Referensi!$A$5:$A$60,0)),"?"))</f>
        <v/>
      </c>
      <c r="G938" s="38" t="n"/>
      <c r="H938" s="59" t="n"/>
      <c r="I938" s="38" t="n"/>
      <c r="J938" s="39" t="n"/>
      <c r="K938" s="60">
        <f>IF(J938="","",SUMIFS(J$5:J938,D$5:D938,"Masuk")-SUMIFS(J$5:J938,D$5:D938,"Keluar"))</f>
        <v/>
      </c>
      <c r="L938" s="38" t="n"/>
      <c r="M938" s="38" t="n"/>
      <c r="N938" s="57">
        <f>IF(E938="","",IFERROR(IF(INDEX(Referensi!$B$5:$B$60,MATCH(E938,Referensi!$A$5:$A$60,0))=D938,"OK","Jenis tidak cocok"),"Kategori tidak dikenal"))</f>
        <v/>
      </c>
    </row>
    <row r="939" ht="15" customHeight="1" s="33">
      <c r="A939" s="57">
        <f>IF(B939="","",ROW()-4)</f>
        <v/>
      </c>
      <c r="B939" s="58" t="n"/>
      <c r="C939" s="38" t="n"/>
      <c r="D939" s="38" t="n"/>
      <c r="E939" s="38" t="n"/>
      <c r="F939" s="57">
        <f>IF(E939="","",IFERROR(INDEX(Referensi!$C$5:$C$60,MATCH(E939,Referensi!$A$5:$A$60,0)),"?"))</f>
        <v/>
      </c>
      <c r="G939" s="38" t="n"/>
      <c r="H939" s="59" t="n"/>
      <c r="I939" s="38" t="n"/>
      <c r="J939" s="39" t="n"/>
      <c r="K939" s="60">
        <f>IF(J939="","",SUMIFS(J$5:J939,D$5:D939,"Masuk")-SUMIFS(J$5:J939,D$5:D939,"Keluar"))</f>
        <v/>
      </c>
      <c r="L939" s="38" t="n"/>
      <c r="M939" s="38" t="n"/>
      <c r="N939" s="57">
        <f>IF(E939="","",IFERROR(IF(INDEX(Referensi!$B$5:$B$60,MATCH(E939,Referensi!$A$5:$A$60,0))=D939,"OK","Jenis tidak cocok"),"Kategori tidak dikenal"))</f>
        <v/>
      </c>
    </row>
    <row r="940" ht="15" customHeight="1" s="33">
      <c r="A940" s="57">
        <f>IF(B940="","",ROW()-4)</f>
        <v/>
      </c>
      <c r="B940" s="58" t="n"/>
      <c r="C940" s="38" t="n"/>
      <c r="D940" s="38" t="n"/>
      <c r="E940" s="38" t="n"/>
      <c r="F940" s="57">
        <f>IF(E940="","",IFERROR(INDEX(Referensi!$C$5:$C$60,MATCH(E940,Referensi!$A$5:$A$60,0)),"?"))</f>
        <v/>
      </c>
      <c r="G940" s="38" t="n"/>
      <c r="H940" s="59" t="n"/>
      <c r="I940" s="38" t="n"/>
      <c r="J940" s="39" t="n"/>
      <c r="K940" s="60">
        <f>IF(J940="","",SUMIFS(J$5:J940,D$5:D940,"Masuk")-SUMIFS(J$5:J940,D$5:D940,"Keluar"))</f>
        <v/>
      </c>
      <c r="L940" s="38" t="n"/>
      <c r="M940" s="38" t="n"/>
      <c r="N940" s="57">
        <f>IF(E940="","",IFERROR(IF(INDEX(Referensi!$B$5:$B$60,MATCH(E940,Referensi!$A$5:$A$60,0))=D940,"OK","Jenis tidak cocok"),"Kategori tidak dikenal"))</f>
        <v/>
      </c>
    </row>
    <row r="941" ht="15" customHeight="1" s="33">
      <c r="A941" s="57">
        <f>IF(B941="","",ROW()-4)</f>
        <v/>
      </c>
      <c r="B941" s="58" t="n"/>
      <c r="C941" s="38" t="n"/>
      <c r="D941" s="38" t="n"/>
      <c r="E941" s="38" t="n"/>
      <c r="F941" s="57">
        <f>IF(E941="","",IFERROR(INDEX(Referensi!$C$5:$C$60,MATCH(E941,Referensi!$A$5:$A$60,0)),"?"))</f>
        <v/>
      </c>
      <c r="G941" s="38" t="n"/>
      <c r="H941" s="59" t="n"/>
      <c r="I941" s="38" t="n"/>
      <c r="J941" s="39" t="n"/>
      <c r="K941" s="60">
        <f>IF(J941="","",SUMIFS(J$5:J941,D$5:D941,"Masuk")-SUMIFS(J$5:J941,D$5:D941,"Keluar"))</f>
        <v/>
      </c>
      <c r="L941" s="38" t="n"/>
      <c r="M941" s="38" t="n"/>
      <c r="N941" s="57">
        <f>IF(E941="","",IFERROR(IF(INDEX(Referensi!$B$5:$B$60,MATCH(E941,Referensi!$A$5:$A$60,0))=D941,"OK","Jenis tidak cocok"),"Kategori tidak dikenal"))</f>
        <v/>
      </c>
    </row>
    <row r="942" ht="15" customHeight="1" s="33">
      <c r="A942" s="57">
        <f>IF(B942="","",ROW()-4)</f>
        <v/>
      </c>
      <c r="B942" s="58" t="n"/>
      <c r="C942" s="38" t="n"/>
      <c r="D942" s="38" t="n"/>
      <c r="E942" s="38" t="n"/>
      <c r="F942" s="57">
        <f>IF(E942="","",IFERROR(INDEX(Referensi!$C$5:$C$60,MATCH(E942,Referensi!$A$5:$A$60,0)),"?"))</f>
        <v/>
      </c>
      <c r="G942" s="38" t="n"/>
      <c r="H942" s="59" t="n"/>
      <c r="I942" s="38" t="n"/>
      <c r="J942" s="39" t="n"/>
      <c r="K942" s="60">
        <f>IF(J942="","",SUMIFS(J$5:J942,D$5:D942,"Masuk")-SUMIFS(J$5:J942,D$5:D942,"Keluar"))</f>
        <v/>
      </c>
      <c r="L942" s="38" t="n"/>
      <c r="M942" s="38" t="n"/>
      <c r="N942" s="57">
        <f>IF(E942="","",IFERROR(IF(INDEX(Referensi!$B$5:$B$60,MATCH(E942,Referensi!$A$5:$A$60,0))=D942,"OK","Jenis tidak cocok"),"Kategori tidak dikenal"))</f>
        <v/>
      </c>
    </row>
    <row r="943" ht="15" customHeight="1" s="33">
      <c r="A943" s="57">
        <f>IF(B943="","",ROW()-4)</f>
        <v/>
      </c>
      <c r="B943" s="58" t="n"/>
      <c r="C943" s="38" t="n"/>
      <c r="D943" s="38" t="n"/>
      <c r="E943" s="38" t="n"/>
      <c r="F943" s="57">
        <f>IF(E943="","",IFERROR(INDEX(Referensi!$C$5:$C$60,MATCH(E943,Referensi!$A$5:$A$60,0)),"?"))</f>
        <v/>
      </c>
      <c r="G943" s="38" t="n"/>
      <c r="H943" s="59" t="n"/>
      <c r="I943" s="38" t="n"/>
      <c r="J943" s="39" t="n"/>
      <c r="K943" s="60">
        <f>IF(J943="","",SUMIFS(J$5:J943,D$5:D943,"Masuk")-SUMIFS(J$5:J943,D$5:D943,"Keluar"))</f>
        <v/>
      </c>
      <c r="L943" s="38" t="n"/>
      <c r="M943" s="38" t="n"/>
      <c r="N943" s="57">
        <f>IF(E943="","",IFERROR(IF(INDEX(Referensi!$B$5:$B$60,MATCH(E943,Referensi!$A$5:$A$60,0))=D943,"OK","Jenis tidak cocok"),"Kategori tidak dikenal"))</f>
        <v/>
      </c>
    </row>
    <row r="944" ht="15" customHeight="1" s="33">
      <c r="A944" s="57">
        <f>IF(B944="","",ROW()-4)</f>
        <v/>
      </c>
      <c r="B944" s="58" t="n"/>
      <c r="C944" s="38" t="n"/>
      <c r="D944" s="38" t="n"/>
      <c r="E944" s="38" t="n"/>
      <c r="F944" s="57">
        <f>IF(E944="","",IFERROR(INDEX(Referensi!$C$5:$C$60,MATCH(E944,Referensi!$A$5:$A$60,0)),"?"))</f>
        <v/>
      </c>
      <c r="G944" s="38" t="n"/>
      <c r="H944" s="59" t="n"/>
      <c r="I944" s="38" t="n"/>
      <c r="J944" s="39" t="n"/>
      <c r="K944" s="60">
        <f>IF(J944="","",SUMIFS(J$5:J944,D$5:D944,"Masuk")-SUMIFS(J$5:J944,D$5:D944,"Keluar"))</f>
        <v/>
      </c>
      <c r="L944" s="38" t="n"/>
      <c r="M944" s="38" t="n"/>
      <c r="N944" s="57">
        <f>IF(E944="","",IFERROR(IF(INDEX(Referensi!$B$5:$B$60,MATCH(E944,Referensi!$A$5:$A$60,0))=D944,"OK","Jenis tidak cocok"),"Kategori tidak dikenal"))</f>
        <v/>
      </c>
    </row>
    <row r="945" ht="15" customHeight="1" s="33">
      <c r="A945" s="57">
        <f>IF(B945="","",ROW()-4)</f>
        <v/>
      </c>
      <c r="B945" s="58" t="n"/>
      <c r="C945" s="38" t="n"/>
      <c r="D945" s="38" t="n"/>
      <c r="E945" s="38" t="n"/>
      <c r="F945" s="57">
        <f>IF(E945="","",IFERROR(INDEX(Referensi!$C$5:$C$60,MATCH(E945,Referensi!$A$5:$A$60,0)),"?"))</f>
        <v/>
      </c>
      <c r="G945" s="38" t="n"/>
      <c r="H945" s="59" t="n"/>
      <c r="I945" s="38" t="n"/>
      <c r="J945" s="39" t="n"/>
      <c r="K945" s="60">
        <f>IF(J945="","",SUMIFS(J$5:J945,D$5:D945,"Masuk")-SUMIFS(J$5:J945,D$5:D945,"Keluar"))</f>
        <v/>
      </c>
      <c r="L945" s="38" t="n"/>
      <c r="M945" s="38" t="n"/>
      <c r="N945" s="57">
        <f>IF(E945="","",IFERROR(IF(INDEX(Referensi!$B$5:$B$60,MATCH(E945,Referensi!$A$5:$A$60,0))=D945,"OK","Jenis tidak cocok"),"Kategori tidak dikenal"))</f>
        <v/>
      </c>
    </row>
    <row r="946" ht="15" customHeight="1" s="33">
      <c r="A946" s="57">
        <f>IF(B946="","",ROW()-4)</f>
        <v/>
      </c>
      <c r="B946" s="58" t="n"/>
      <c r="C946" s="38" t="n"/>
      <c r="D946" s="38" t="n"/>
      <c r="E946" s="38" t="n"/>
      <c r="F946" s="57">
        <f>IF(E946="","",IFERROR(INDEX(Referensi!$C$5:$C$60,MATCH(E946,Referensi!$A$5:$A$60,0)),"?"))</f>
        <v/>
      </c>
      <c r="G946" s="38" t="n"/>
      <c r="H946" s="59" t="n"/>
      <c r="I946" s="38" t="n"/>
      <c r="J946" s="39" t="n"/>
      <c r="K946" s="60">
        <f>IF(J946="","",SUMIFS(J$5:J946,D$5:D946,"Masuk")-SUMIFS(J$5:J946,D$5:D946,"Keluar"))</f>
        <v/>
      </c>
      <c r="L946" s="38" t="n"/>
      <c r="M946" s="38" t="n"/>
      <c r="N946" s="57">
        <f>IF(E946="","",IFERROR(IF(INDEX(Referensi!$B$5:$B$60,MATCH(E946,Referensi!$A$5:$A$60,0))=D946,"OK","Jenis tidak cocok"),"Kategori tidak dikenal"))</f>
        <v/>
      </c>
    </row>
    <row r="947" ht="15" customHeight="1" s="33">
      <c r="A947" s="57">
        <f>IF(B947="","",ROW()-4)</f>
        <v/>
      </c>
      <c r="B947" s="58" t="n"/>
      <c r="C947" s="38" t="n"/>
      <c r="D947" s="38" t="n"/>
      <c r="E947" s="38" t="n"/>
      <c r="F947" s="57">
        <f>IF(E947="","",IFERROR(INDEX(Referensi!$C$5:$C$60,MATCH(E947,Referensi!$A$5:$A$60,0)),"?"))</f>
        <v/>
      </c>
      <c r="G947" s="38" t="n"/>
      <c r="H947" s="59" t="n"/>
      <c r="I947" s="38" t="n"/>
      <c r="J947" s="39" t="n"/>
      <c r="K947" s="60">
        <f>IF(J947="","",SUMIFS(J$5:J947,D$5:D947,"Masuk")-SUMIFS(J$5:J947,D$5:D947,"Keluar"))</f>
        <v/>
      </c>
      <c r="L947" s="38" t="n"/>
      <c r="M947" s="38" t="n"/>
      <c r="N947" s="57">
        <f>IF(E947="","",IFERROR(IF(INDEX(Referensi!$B$5:$B$60,MATCH(E947,Referensi!$A$5:$A$60,0))=D947,"OK","Jenis tidak cocok"),"Kategori tidak dikenal"))</f>
        <v/>
      </c>
    </row>
    <row r="948" ht="15" customHeight="1" s="33">
      <c r="A948" s="57">
        <f>IF(B948="","",ROW()-4)</f>
        <v/>
      </c>
      <c r="B948" s="58" t="n"/>
      <c r="C948" s="38" t="n"/>
      <c r="D948" s="38" t="n"/>
      <c r="E948" s="38" t="n"/>
      <c r="F948" s="57">
        <f>IF(E948="","",IFERROR(INDEX(Referensi!$C$5:$C$60,MATCH(E948,Referensi!$A$5:$A$60,0)),"?"))</f>
        <v/>
      </c>
      <c r="G948" s="38" t="n"/>
      <c r="H948" s="59" t="n"/>
      <c r="I948" s="38" t="n"/>
      <c r="J948" s="39" t="n"/>
      <c r="K948" s="60">
        <f>IF(J948="","",SUMIFS(J$5:J948,D$5:D948,"Masuk")-SUMIFS(J$5:J948,D$5:D948,"Keluar"))</f>
        <v/>
      </c>
      <c r="L948" s="38" t="n"/>
      <c r="M948" s="38" t="n"/>
      <c r="N948" s="57">
        <f>IF(E948="","",IFERROR(IF(INDEX(Referensi!$B$5:$B$60,MATCH(E948,Referensi!$A$5:$A$60,0))=D948,"OK","Jenis tidak cocok"),"Kategori tidak dikenal"))</f>
        <v/>
      </c>
    </row>
    <row r="949" ht="15" customHeight="1" s="33">
      <c r="A949" s="57">
        <f>IF(B949="","",ROW()-4)</f>
        <v/>
      </c>
      <c r="B949" s="58" t="n"/>
      <c r="C949" s="38" t="n"/>
      <c r="D949" s="38" t="n"/>
      <c r="E949" s="38" t="n"/>
      <c r="F949" s="57">
        <f>IF(E949="","",IFERROR(INDEX(Referensi!$C$5:$C$60,MATCH(E949,Referensi!$A$5:$A$60,0)),"?"))</f>
        <v/>
      </c>
      <c r="G949" s="38" t="n"/>
      <c r="H949" s="59" t="n"/>
      <c r="I949" s="38" t="n"/>
      <c r="J949" s="39" t="n"/>
      <c r="K949" s="60">
        <f>IF(J949="","",SUMIFS(J$5:J949,D$5:D949,"Masuk")-SUMIFS(J$5:J949,D$5:D949,"Keluar"))</f>
        <v/>
      </c>
      <c r="L949" s="38" t="n"/>
      <c r="M949" s="38" t="n"/>
      <c r="N949" s="57">
        <f>IF(E949="","",IFERROR(IF(INDEX(Referensi!$B$5:$B$60,MATCH(E949,Referensi!$A$5:$A$60,0))=D949,"OK","Jenis tidak cocok"),"Kategori tidak dikenal"))</f>
        <v/>
      </c>
    </row>
    <row r="950" ht="15" customHeight="1" s="33">
      <c r="A950" s="57">
        <f>IF(B950="","",ROW()-4)</f>
        <v/>
      </c>
      <c r="B950" s="58" t="n"/>
      <c r="C950" s="38" t="n"/>
      <c r="D950" s="38" t="n"/>
      <c r="E950" s="38" t="n"/>
      <c r="F950" s="57">
        <f>IF(E950="","",IFERROR(INDEX(Referensi!$C$5:$C$60,MATCH(E950,Referensi!$A$5:$A$60,0)),"?"))</f>
        <v/>
      </c>
      <c r="G950" s="38" t="n"/>
      <c r="H950" s="59" t="n"/>
      <c r="I950" s="38" t="n"/>
      <c r="J950" s="39" t="n"/>
      <c r="K950" s="60">
        <f>IF(J950="","",SUMIFS(J$5:J950,D$5:D950,"Masuk")-SUMIFS(J$5:J950,D$5:D950,"Keluar"))</f>
        <v/>
      </c>
      <c r="L950" s="38" t="n"/>
      <c r="M950" s="38" t="n"/>
      <c r="N950" s="57">
        <f>IF(E950="","",IFERROR(IF(INDEX(Referensi!$B$5:$B$60,MATCH(E950,Referensi!$A$5:$A$60,0))=D950,"OK","Jenis tidak cocok"),"Kategori tidak dikenal"))</f>
        <v/>
      </c>
    </row>
    <row r="951" ht="15" customHeight="1" s="33">
      <c r="A951" s="57">
        <f>IF(B951="","",ROW()-4)</f>
        <v/>
      </c>
      <c r="B951" s="58" t="n"/>
      <c r="C951" s="38" t="n"/>
      <c r="D951" s="38" t="n"/>
      <c r="E951" s="38" t="n"/>
      <c r="F951" s="57">
        <f>IF(E951="","",IFERROR(INDEX(Referensi!$C$5:$C$60,MATCH(E951,Referensi!$A$5:$A$60,0)),"?"))</f>
        <v/>
      </c>
      <c r="G951" s="38" t="n"/>
      <c r="H951" s="59" t="n"/>
      <c r="I951" s="38" t="n"/>
      <c r="J951" s="39" t="n"/>
      <c r="K951" s="60">
        <f>IF(J951="","",SUMIFS(J$5:J951,D$5:D951,"Masuk")-SUMIFS(J$5:J951,D$5:D951,"Keluar"))</f>
        <v/>
      </c>
      <c r="L951" s="38" t="n"/>
      <c r="M951" s="38" t="n"/>
      <c r="N951" s="57">
        <f>IF(E951="","",IFERROR(IF(INDEX(Referensi!$B$5:$B$60,MATCH(E951,Referensi!$A$5:$A$60,0))=D951,"OK","Jenis tidak cocok"),"Kategori tidak dikenal"))</f>
        <v/>
      </c>
    </row>
    <row r="952" ht="15" customHeight="1" s="33">
      <c r="A952" s="57">
        <f>IF(B952="","",ROW()-4)</f>
        <v/>
      </c>
      <c r="B952" s="58" t="n"/>
      <c r="C952" s="38" t="n"/>
      <c r="D952" s="38" t="n"/>
      <c r="E952" s="38" t="n"/>
      <c r="F952" s="57">
        <f>IF(E952="","",IFERROR(INDEX(Referensi!$C$5:$C$60,MATCH(E952,Referensi!$A$5:$A$60,0)),"?"))</f>
        <v/>
      </c>
      <c r="G952" s="38" t="n"/>
      <c r="H952" s="59" t="n"/>
      <c r="I952" s="38" t="n"/>
      <c r="J952" s="39" t="n"/>
      <c r="K952" s="60">
        <f>IF(J952="","",SUMIFS(J$5:J952,D$5:D952,"Masuk")-SUMIFS(J$5:J952,D$5:D952,"Keluar"))</f>
        <v/>
      </c>
      <c r="L952" s="38" t="n"/>
      <c r="M952" s="38" t="n"/>
      <c r="N952" s="57">
        <f>IF(E952="","",IFERROR(IF(INDEX(Referensi!$B$5:$B$60,MATCH(E952,Referensi!$A$5:$A$60,0))=D952,"OK","Jenis tidak cocok"),"Kategori tidak dikenal"))</f>
        <v/>
      </c>
    </row>
    <row r="953" ht="15" customHeight="1" s="33">
      <c r="A953" s="57">
        <f>IF(B953="","",ROW()-4)</f>
        <v/>
      </c>
      <c r="B953" s="58" t="n"/>
      <c r="C953" s="38" t="n"/>
      <c r="D953" s="38" t="n"/>
      <c r="E953" s="38" t="n"/>
      <c r="F953" s="57">
        <f>IF(E953="","",IFERROR(INDEX(Referensi!$C$5:$C$60,MATCH(E953,Referensi!$A$5:$A$60,0)),"?"))</f>
        <v/>
      </c>
      <c r="G953" s="38" t="n"/>
      <c r="H953" s="59" t="n"/>
      <c r="I953" s="38" t="n"/>
      <c r="J953" s="39" t="n"/>
      <c r="K953" s="60">
        <f>IF(J953="","",SUMIFS(J$5:J953,D$5:D953,"Masuk")-SUMIFS(J$5:J953,D$5:D953,"Keluar"))</f>
        <v/>
      </c>
      <c r="L953" s="38" t="n"/>
      <c r="M953" s="38" t="n"/>
      <c r="N953" s="57">
        <f>IF(E953="","",IFERROR(IF(INDEX(Referensi!$B$5:$B$60,MATCH(E953,Referensi!$A$5:$A$60,0))=D953,"OK","Jenis tidak cocok"),"Kategori tidak dikenal"))</f>
        <v/>
      </c>
    </row>
    <row r="954" ht="15" customHeight="1" s="33">
      <c r="A954" s="57">
        <f>IF(B954="","",ROW()-4)</f>
        <v/>
      </c>
      <c r="B954" s="58" t="n"/>
      <c r="C954" s="38" t="n"/>
      <c r="D954" s="38" t="n"/>
      <c r="E954" s="38" t="n"/>
      <c r="F954" s="57">
        <f>IF(E954="","",IFERROR(INDEX(Referensi!$C$5:$C$60,MATCH(E954,Referensi!$A$5:$A$60,0)),"?"))</f>
        <v/>
      </c>
      <c r="G954" s="38" t="n"/>
      <c r="H954" s="59" t="n"/>
      <c r="I954" s="38" t="n"/>
      <c r="J954" s="39" t="n"/>
      <c r="K954" s="60">
        <f>IF(J954="","",SUMIFS(J$5:J954,D$5:D954,"Masuk")-SUMIFS(J$5:J954,D$5:D954,"Keluar"))</f>
        <v/>
      </c>
      <c r="L954" s="38" t="n"/>
      <c r="M954" s="38" t="n"/>
      <c r="N954" s="57">
        <f>IF(E954="","",IFERROR(IF(INDEX(Referensi!$B$5:$B$60,MATCH(E954,Referensi!$A$5:$A$60,0))=D954,"OK","Jenis tidak cocok"),"Kategori tidak dikenal"))</f>
        <v/>
      </c>
    </row>
    <row r="955" ht="15" customHeight="1" s="33">
      <c r="A955" s="57">
        <f>IF(B955="","",ROW()-4)</f>
        <v/>
      </c>
      <c r="B955" s="58" t="n"/>
      <c r="C955" s="38" t="n"/>
      <c r="D955" s="38" t="n"/>
      <c r="E955" s="38" t="n"/>
      <c r="F955" s="57">
        <f>IF(E955="","",IFERROR(INDEX(Referensi!$C$5:$C$60,MATCH(E955,Referensi!$A$5:$A$60,0)),"?"))</f>
        <v/>
      </c>
      <c r="G955" s="38" t="n"/>
      <c r="H955" s="59" t="n"/>
      <c r="I955" s="38" t="n"/>
      <c r="J955" s="39" t="n"/>
      <c r="K955" s="60">
        <f>IF(J955="","",SUMIFS(J$5:J955,D$5:D955,"Masuk")-SUMIFS(J$5:J955,D$5:D955,"Keluar"))</f>
        <v/>
      </c>
      <c r="L955" s="38" t="n"/>
      <c r="M955" s="38" t="n"/>
      <c r="N955" s="57">
        <f>IF(E955="","",IFERROR(IF(INDEX(Referensi!$B$5:$B$60,MATCH(E955,Referensi!$A$5:$A$60,0))=D955,"OK","Jenis tidak cocok"),"Kategori tidak dikenal"))</f>
        <v/>
      </c>
    </row>
    <row r="956" ht="15" customHeight="1" s="33">
      <c r="A956" s="57">
        <f>IF(B956="","",ROW()-4)</f>
        <v/>
      </c>
      <c r="B956" s="58" t="n"/>
      <c r="C956" s="38" t="n"/>
      <c r="D956" s="38" t="n"/>
      <c r="E956" s="38" t="n"/>
      <c r="F956" s="57">
        <f>IF(E956="","",IFERROR(INDEX(Referensi!$C$5:$C$60,MATCH(E956,Referensi!$A$5:$A$60,0)),"?"))</f>
        <v/>
      </c>
      <c r="G956" s="38" t="n"/>
      <c r="H956" s="59" t="n"/>
      <c r="I956" s="38" t="n"/>
      <c r="J956" s="39" t="n"/>
      <c r="K956" s="60">
        <f>IF(J956="","",SUMIFS(J$5:J956,D$5:D956,"Masuk")-SUMIFS(J$5:J956,D$5:D956,"Keluar"))</f>
        <v/>
      </c>
      <c r="L956" s="38" t="n"/>
      <c r="M956" s="38" t="n"/>
      <c r="N956" s="57">
        <f>IF(E956="","",IFERROR(IF(INDEX(Referensi!$B$5:$B$60,MATCH(E956,Referensi!$A$5:$A$60,0))=D956,"OK","Jenis tidak cocok"),"Kategori tidak dikenal"))</f>
        <v/>
      </c>
    </row>
    <row r="957" ht="15" customHeight="1" s="33">
      <c r="A957" s="57">
        <f>IF(B957="","",ROW()-4)</f>
        <v/>
      </c>
      <c r="B957" s="58" t="n"/>
      <c r="C957" s="38" t="n"/>
      <c r="D957" s="38" t="n"/>
      <c r="E957" s="38" t="n"/>
      <c r="F957" s="57">
        <f>IF(E957="","",IFERROR(INDEX(Referensi!$C$5:$C$60,MATCH(E957,Referensi!$A$5:$A$60,0)),"?"))</f>
        <v/>
      </c>
      <c r="G957" s="38" t="n"/>
      <c r="H957" s="59" t="n"/>
      <c r="I957" s="38" t="n"/>
      <c r="J957" s="39" t="n"/>
      <c r="K957" s="60">
        <f>IF(J957="","",SUMIFS(J$5:J957,D$5:D957,"Masuk")-SUMIFS(J$5:J957,D$5:D957,"Keluar"))</f>
        <v/>
      </c>
      <c r="L957" s="38" t="n"/>
      <c r="M957" s="38" t="n"/>
      <c r="N957" s="57">
        <f>IF(E957="","",IFERROR(IF(INDEX(Referensi!$B$5:$B$60,MATCH(E957,Referensi!$A$5:$A$60,0))=D957,"OK","Jenis tidak cocok"),"Kategori tidak dikenal"))</f>
        <v/>
      </c>
    </row>
    <row r="958" ht="15" customHeight="1" s="33">
      <c r="A958" s="57">
        <f>IF(B958="","",ROW()-4)</f>
        <v/>
      </c>
      <c r="B958" s="58" t="n"/>
      <c r="C958" s="38" t="n"/>
      <c r="D958" s="38" t="n"/>
      <c r="E958" s="38" t="n"/>
      <c r="F958" s="57">
        <f>IF(E958="","",IFERROR(INDEX(Referensi!$C$5:$C$60,MATCH(E958,Referensi!$A$5:$A$60,0)),"?"))</f>
        <v/>
      </c>
      <c r="G958" s="38" t="n"/>
      <c r="H958" s="59" t="n"/>
      <c r="I958" s="38" t="n"/>
      <c r="J958" s="39" t="n"/>
      <c r="K958" s="60">
        <f>IF(J958="","",SUMIFS(J$5:J958,D$5:D958,"Masuk")-SUMIFS(J$5:J958,D$5:D958,"Keluar"))</f>
        <v/>
      </c>
      <c r="L958" s="38" t="n"/>
      <c r="M958" s="38" t="n"/>
      <c r="N958" s="57">
        <f>IF(E958="","",IFERROR(IF(INDEX(Referensi!$B$5:$B$60,MATCH(E958,Referensi!$A$5:$A$60,0))=D958,"OK","Jenis tidak cocok"),"Kategori tidak dikenal"))</f>
        <v/>
      </c>
    </row>
    <row r="959" ht="15" customHeight="1" s="33">
      <c r="A959" s="57">
        <f>IF(B959="","",ROW()-4)</f>
        <v/>
      </c>
      <c r="B959" s="58" t="n"/>
      <c r="C959" s="38" t="n"/>
      <c r="D959" s="38" t="n"/>
      <c r="E959" s="38" t="n"/>
      <c r="F959" s="57">
        <f>IF(E959="","",IFERROR(INDEX(Referensi!$C$5:$C$60,MATCH(E959,Referensi!$A$5:$A$60,0)),"?"))</f>
        <v/>
      </c>
      <c r="G959" s="38" t="n"/>
      <c r="H959" s="59" t="n"/>
      <c r="I959" s="38" t="n"/>
      <c r="J959" s="39" t="n"/>
      <c r="K959" s="60">
        <f>IF(J959="","",SUMIFS(J$5:J959,D$5:D959,"Masuk")-SUMIFS(J$5:J959,D$5:D959,"Keluar"))</f>
        <v/>
      </c>
      <c r="L959" s="38" t="n"/>
      <c r="M959" s="38" t="n"/>
      <c r="N959" s="57">
        <f>IF(E959="","",IFERROR(IF(INDEX(Referensi!$B$5:$B$60,MATCH(E959,Referensi!$A$5:$A$60,0))=D959,"OK","Jenis tidak cocok"),"Kategori tidak dikenal"))</f>
        <v/>
      </c>
    </row>
    <row r="960" ht="15" customHeight="1" s="33">
      <c r="A960" s="57">
        <f>IF(B960="","",ROW()-4)</f>
        <v/>
      </c>
      <c r="B960" s="58" t="n"/>
      <c r="C960" s="38" t="n"/>
      <c r="D960" s="38" t="n"/>
      <c r="E960" s="38" t="n"/>
      <c r="F960" s="57">
        <f>IF(E960="","",IFERROR(INDEX(Referensi!$C$5:$C$60,MATCH(E960,Referensi!$A$5:$A$60,0)),"?"))</f>
        <v/>
      </c>
      <c r="G960" s="38" t="n"/>
      <c r="H960" s="59" t="n"/>
      <c r="I960" s="38" t="n"/>
      <c r="J960" s="39" t="n"/>
      <c r="K960" s="60">
        <f>IF(J960="","",SUMIFS(J$5:J960,D$5:D960,"Masuk")-SUMIFS(J$5:J960,D$5:D960,"Keluar"))</f>
        <v/>
      </c>
      <c r="L960" s="38" t="n"/>
      <c r="M960" s="38" t="n"/>
      <c r="N960" s="57">
        <f>IF(E960="","",IFERROR(IF(INDEX(Referensi!$B$5:$B$60,MATCH(E960,Referensi!$A$5:$A$60,0))=D960,"OK","Jenis tidak cocok"),"Kategori tidak dikenal"))</f>
        <v/>
      </c>
    </row>
    <row r="961" ht="15" customHeight="1" s="33">
      <c r="A961" s="57">
        <f>IF(B961="","",ROW()-4)</f>
        <v/>
      </c>
      <c r="B961" s="58" t="n"/>
      <c r="C961" s="38" t="n"/>
      <c r="D961" s="38" t="n"/>
      <c r="E961" s="38" t="n"/>
      <c r="F961" s="57">
        <f>IF(E961="","",IFERROR(INDEX(Referensi!$C$5:$C$60,MATCH(E961,Referensi!$A$5:$A$60,0)),"?"))</f>
        <v/>
      </c>
      <c r="G961" s="38" t="n"/>
      <c r="H961" s="59" t="n"/>
      <c r="I961" s="38" t="n"/>
      <c r="J961" s="39" t="n"/>
      <c r="K961" s="60">
        <f>IF(J961="","",SUMIFS(J$5:J961,D$5:D961,"Masuk")-SUMIFS(J$5:J961,D$5:D961,"Keluar"))</f>
        <v/>
      </c>
      <c r="L961" s="38" t="n"/>
      <c r="M961" s="38" t="n"/>
      <c r="N961" s="57">
        <f>IF(E961="","",IFERROR(IF(INDEX(Referensi!$B$5:$B$60,MATCH(E961,Referensi!$A$5:$A$60,0))=D961,"OK","Jenis tidak cocok"),"Kategori tidak dikenal"))</f>
        <v/>
      </c>
    </row>
    <row r="962" ht="15" customHeight="1" s="33">
      <c r="A962" s="57">
        <f>IF(B962="","",ROW()-4)</f>
        <v/>
      </c>
      <c r="B962" s="58" t="n"/>
      <c r="C962" s="38" t="n"/>
      <c r="D962" s="38" t="n"/>
      <c r="E962" s="38" t="n"/>
      <c r="F962" s="57">
        <f>IF(E962="","",IFERROR(INDEX(Referensi!$C$5:$C$60,MATCH(E962,Referensi!$A$5:$A$60,0)),"?"))</f>
        <v/>
      </c>
      <c r="G962" s="38" t="n"/>
      <c r="H962" s="59" t="n"/>
      <c r="I962" s="38" t="n"/>
      <c r="J962" s="39" t="n"/>
      <c r="K962" s="60">
        <f>IF(J962="","",SUMIFS(J$5:J962,D$5:D962,"Masuk")-SUMIFS(J$5:J962,D$5:D962,"Keluar"))</f>
        <v/>
      </c>
      <c r="L962" s="38" t="n"/>
      <c r="M962" s="38" t="n"/>
      <c r="N962" s="57">
        <f>IF(E962="","",IFERROR(IF(INDEX(Referensi!$B$5:$B$60,MATCH(E962,Referensi!$A$5:$A$60,0))=D962,"OK","Jenis tidak cocok"),"Kategori tidak dikenal"))</f>
        <v/>
      </c>
    </row>
    <row r="963" ht="15" customHeight="1" s="33">
      <c r="A963" s="57">
        <f>IF(B963="","",ROW()-4)</f>
        <v/>
      </c>
      <c r="B963" s="58" t="n"/>
      <c r="C963" s="38" t="n"/>
      <c r="D963" s="38" t="n"/>
      <c r="E963" s="38" t="n"/>
      <c r="F963" s="57">
        <f>IF(E963="","",IFERROR(INDEX(Referensi!$C$5:$C$60,MATCH(E963,Referensi!$A$5:$A$60,0)),"?"))</f>
        <v/>
      </c>
      <c r="G963" s="38" t="n"/>
      <c r="H963" s="59" t="n"/>
      <c r="I963" s="38" t="n"/>
      <c r="J963" s="39" t="n"/>
      <c r="K963" s="60">
        <f>IF(J963="","",SUMIFS(J$5:J963,D$5:D963,"Masuk")-SUMIFS(J$5:J963,D$5:D963,"Keluar"))</f>
        <v/>
      </c>
      <c r="L963" s="38" t="n"/>
      <c r="M963" s="38" t="n"/>
      <c r="N963" s="57">
        <f>IF(E963="","",IFERROR(IF(INDEX(Referensi!$B$5:$B$60,MATCH(E963,Referensi!$A$5:$A$60,0))=D963,"OK","Jenis tidak cocok"),"Kategori tidak dikenal"))</f>
        <v/>
      </c>
    </row>
    <row r="964" ht="15" customHeight="1" s="33">
      <c r="A964" s="57">
        <f>IF(B964="","",ROW()-4)</f>
        <v/>
      </c>
      <c r="B964" s="58" t="n"/>
      <c r="C964" s="38" t="n"/>
      <c r="D964" s="38" t="n"/>
      <c r="E964" s="38" t="n"/>
      <c r="F964" s="57">
        <f>IF(E964="","",IFERROR(INDEX(Referensi!$C$5:$C$60,MATCH(E964,Referensi!$A$5:$A$60,0)),"?"))</f>
        <v/>
      </c>
      <c r="G964" s="38" t="n"/>
      <c r="H964" s="59" t="n"/>
      <c r="I964" s="38" t="n"/>
      <c r="J964" s="39" t="n"/>
      <c r="K964" s="60">
        <f>IF(J964="","",SUMIFS(J$5:J964,D$5:D964,"Masuk")-SUMIFS(J$5:J964,D$5:D964,"Keluar"))</f>
        <v/>
      </c>
      <c r="L964" s="38" t="n"/>
      <c r="M964" s="38" t="n"/>
      <c r="N964" s="57">
        <f>IF(E964="","",IFERROR(IF(INDEX(Referensi!$B$5:$B$60,MATCH(E964,Referensi!$A$5:$A$60,0))=D964,"OK","Jenis tidak cocok"),"Kategori tidak dikenal"))</f>
        <v/>
      </c>
    </row>
    <row r="965" ht="15" customHeight="1" s="33">
      <c r="A965" s="57">
        <f>IF(B965="","",ROW()-4)</f>
        <v/>
      </c>
      <c r="B965" s="58" t="n"/>
      <c r="C965" s="38" t="n"/>
      <c r="D965" s="38" t="n"/>
      <c r="E965" s="38" t="n"/>
      <c r="F965" s="57">
        <f>IF(E965="","",IFERROR(INDEX(Referensi!$C$5:$C$60,MATCH(E965,Referensi!$A$5:$A$60,0)),"?"))</f>
        <v/>
      </c>
      <c r="G965" s="38" t="n"/>
      <c r="H965" s="59" t="n"/>
      <c r="I965" s="38" t="n"/>
      <c r="J965" s="39" t="n"/>
      <c r="K965" s="60">
        <f>IF(J965="","",SUMIFS(J$5:J965,D$5:D965,"Masuk")-SUMIFS(J$5:J965,D$5:D965,"Keluar"))</f>
        <v/>
      </c>
      <c r="L965" s="38" t="n"/>
      <c r="M965" s="38" t="n"/>
      <c r="N965" s="57">
        <f>IF(E965="","",IFERROR(IF(INDEX(Referensi!$B$5:$B$60,MATCH(E965,Referensi!$A$5:$A$60,0))=D965,"OK","Jenis tidak cocok"),"Kategori tidak dikenal"))</f>
        <v/>
      </c>
    </row>
    <row r="966" ht="15" customHeight="1" s="33">
      <c r="A966" s="57">
        <f>IF(B966="","",ROW()-4)</f>
        <v/>
      </c>
      <c r="B966" s="58" t="n"/>
      <c r="C966" s="38" t="n"/>
      <c r="D966" s="38" t="n"/>
      <c r="E966" s="38" t="n"/>
      <c r="F966" s="57">
        <f>IF(E966="","",IFERROR(INDEX(Referensi!$C$5:$C$60,MATCH(E966,Referensi!$A$5:$A$60,0)),"?"))</f>
        <v/>
      </c>
      <c r="G966" s="38" t="n"/>
      <c r="H966" s="59" t="n"/>
      <c r="I966" s="38" t="n"/>
      <c r="J966" s="39" t="n"/>
      <c r="K966" s="60">
        <f>IF(J966="","",SUMIFS(J$5:J966,D$5:D966,"Masuk")-SUMIFS(J$5:J966,D$5:D966,"Keluar"))</f>
        <v/>
      </c>
      <c r="L966" s="38" t="n"/>
      <c r="M966" s="38" t="n"/>
      <c r="N966" s="57">
        <f>IF(E966="","",IFERROR(IF(INDEX(Referensi!$B$5:$B$60,MATCH(E966,Referensi!$A$5:$A$60,0))=D966,"OK","Jenis tidak cocok"),"Kategori tidak dikenal"))</f>
        <v/>
      </c>
    </row>
    <row r="967" ht="15" customHeight="1" s="33">
      <c r="A967" s="57">
        <f>IF(B967="","",ROW()-4)</f>
        <v/>
      </c>
      <c r="B967" s="58" t="n"/>
      <c r="C967" s="38" t="n"/>
      <c r="D967" s="38" t="n"/>
      <c r="E967" s="38" t="n"/>
      <c r="F967" s="57">
        <f>IF(E967="","",IFERROR(INDEX(Referensi!$C$5:$C$60,MATCH(E967,Referensi!$A$5:$A$60,0)),"?"))</f>
        <v/>
      </c>
      <c r="G967" s="38" t="n"/>
      <c r="H967" s="59" t="n"/>
      <c r="I967" s="38" t="n"/>
      <c r="J967" s="39" t="n"/>
      <c r="K967" s="60">
        <f>IF(J967="","",SUMIFS(J$5:J967,D$5:D967,"Masuk")-SUMIFS(J$5:J967,D$5:D967,"Keluar"))</f>
        <v/>
      </c>
      <c r="L967" s="38" t="n"/>
      <c r="M967" s="38" t="n"/>
      <c r="N967" s="57">
        <f>IF(E967="","",IFERROR(IF(INDEX(Referensi!$B$5:$B$60,MATCH(E967,Referensi!$A$5:$A$60,0))=D967,"OK","Jenis tidak cocok"),"Kategori tidak dikenal"))</f>
        <v/>
      </c>
    </row>
    <row r="968" ht="15" customHeight="1" s="33">
      <c r="A968" s="57">
        <f>IF(B968="","",ROW()-4)</f>
        <v/>
      </c>
      <c r="B968" s="58" t="n"/>
      <c r="C968" s="38" t="n"/>
      <c r="D968" s="38" t="n"/>
      <c r="E968" s="38" t="n"/>
      <c r="F968" s="57">
        <f>IF(E968="","",IFERROR(INDEX(Referensi!$C$5:$C$60,MATCH(E968,Referensi!$A$5:$A$60,0)),"?"))</f>
        <v/>
      </c>
      <c r="G968" s="38" t="n"/>
      <c r="H968" s="59" t="n"/>
      <c r="I968" s="38" t="n"/>
      <c r="J968" s="39" t="n"/>
      <c r="K968" s="60">
        <f>IF(J968="","",SUMIFS(J$5:J968,D$5:D968,"Masuk")-SUMIFS(J$5:J968,D$5:D968,"Keluar"))</f>
        <v/>
      </c>
      <c r="L968" s="38" t="n"/>
      <c r="M968" s="38" t="n"/>
      <c r="N968" s="57">
        <f>IF(E968="","",IFERROR(IF(INDEX(Referensi!$B$5:$B$60,MATCH(E968,Referensi!$A$5:$A$60,0))=D968,"OK","Jenis tidak cocok"),"Kategori tidak dikenal"))</f>
        <v/>
      </c>
    </row>
    <row r="969" ht="15" customHeight="1" s="33">
      <c r="A969" s="57">
        <f>IF(B969="","",ROW()-4)</f>
        <v/>
      </c>
      <c r="B969" s="58" t="n"/>
      <c r="C969" s="38" t="n"/>
      <c r="D969" s="38" t="n"/>
      <c r="E969" s="38" t="n"/>
      <c r="F969" s="57">
        <f>IF(E969="","",IFERROR(INDEX(Referensi!$C$5:$C$60,MATCH(E969,Referensi!$A$5:$A$60,0)),"?"))</f>
        <v/>
      </c>
      <c r="G969" s="38" t="n"/>
      <c r="H969" s="59" t="n"/>
      <c r="I969" s="38" t="n"/>
      <c r="J969" s="39" t="n"/>
      <c r="K969" s="60">
        <f>IF(J969="","",SUMIFS(J$5:J969,D$5:D969,"Masuk")-SUMIFS(J$5:J969,D$5:D969,"Keluar"))</f>
        <v/>
      </c>
      <c r="L969" s="38" t="n"/>
      <c r="M969" s="38" t="n"/>
      <c r="N969" s="57">
        <f>IF(E969="","",IFERROR(IF(INDEX(Referensi!$B$5:$B$60,MATCH(E969,Referensi!$A$5:$A$60,0))=D969,"OK","Jenis tidak cocok"),"Kategori tidak dikenal"))</f>
        <v/>
      </c>
    </row>
    <row r="970" ht="15" customHeight="1" s="33">
      <c r="A970" s="57">
        <f>IF(B970="","",ROW()-4)</f>
        <v/>
      </c>
      <c r="B970" s="58" t="n"/>
      <c r="C970" s="38" t="n"/>
      <c r="D970" s="38" t="n"/>
      <c r="E970" s="38" t="n"/>
      <c r="F970" s="57">
        <f>IF(E970="","",IFERROR(INDEX(Referensi!$C$5:$C$60,MATCH(E970,Referensi!$A$5:$A$60,0)),"?"))</f>
        <v/>
      </c>
      <c r="G970" s="38" t="n"/>
      <c r="H970" s="59" t="n"/>
      <c r="I970" s="38" t="n"/>
      <c r="J970" s="39" t="n"/>
      <c r="K970" s="60">
        <f>IF(J970="","",SUMIFS(J$5:J970,D$5:D970,"Masuk")-SUMIFS(J$5:J970,D$5:D970,"Keluar"))</f>
        <v/>
      </c>
      <c r="L970" s="38" t="n"/>
      <c r="M970" s="38" t="n"/>
      <c r="N970" s="57">
        <f>IF(E970="","",IFERROR(IF(INDEX(Referensi!$B$5:$B$60,MATCH(E970,Referensi!$A$5:$A$60,0))=D970,"OK","Jenis tidak cocok"),"Kategori tidak dikenal"))</f>
        <v/>
      </c>
    </row>
    <row r="971" ht="15" customHeight="1" s="33">
      <c r="A971" s="57">
        <f>IF(B971="","",ROW()-4)</f>
        <v/>
      </c>
      <c r="B971" s="58" t="n"/>
      <c r="C971" s="38" t="n"/>
      <c r="D971" s="38" t="n"/>
      <c r="E971" s="38" t="n"/>
      <c r="F971" s="57">
        <f>IF(E971="","",IFERROR(INDEX(Referensi!$C$5:$C$60,MATCH(E971,Referensi!$A$5:$A$60,0)),"?"))</f>
        <v/>
      </c>
      <c r="G971" s="38" t="n"/>
      <c r="H971" s="59" t="n"/>
      <c r="I971" s="38" t="n"/>
      <c r="J971" s="39" t="n"/>
      <c r="K971" s="60">
        <f>IF(J971="","",SUMIFS(J$5:J971,D$5:D971,"Masuk")-SUMIFS(J$5:J971,D$5:D971,"Keluar"))</f>
        <v/>
      </c>
      <c r="L971" s="38" t="n"/>
      <c r="M971" s="38" t="n"/>
      <c r="N971" s="57">
        <f>IF(E971="","",IFERROR(IF(INDEX(Referensi!$B$5:$B$60,MATCH(E971,Referensi!$A$5:$A$60,0))=D971,"OK","Jenis tidak cocok"),"Kategori tidak dikenal"))</f>
        <v/>
      </c>
    </row>
    <row r="972" ht="15" customHeight="1" s="33">
      <c r="A972" s="57">
        <f>IF(B972="","",ROW()-4)</f>
        <v/>
      </c>
      <c r="B972" s="58" t="n"/>
      <c r="C972" s="38" t="n"/>
      <c r="D972" s="38" t="n"/>
      <c r="E972" s="38" t="n"/>
      <c r="F972" s="57">
        <f>IF(E972="","",IFERROR(INDEX(Referensi!$C$5:$C$60,MATCH(E972,Referensi!$A$5:$A$60,0)),"?"))</f>
        <v/>
      </c>
      <c r="G972" s="38" t="n"/>
      <c r="H972" s="59" t="n"/>
      <c r="I972" s="38" t="n"/>
      <c r="J972" s="39" t="n"/>
      <c r="K972" s="60">
        <f>IF(J972="","",SUMIFS(J$5:J972,D$5:D972,"Masuk")-SUMIFS(J$5:J972,D$5:D972,"Keluar"))</f>
        <v/>
      </c>
      <c r="L972" s="38" t="n"/>
      <c r="M972" s="38" t="n"/>
      <c r="N972" s="57">
        <f>IF(E972="","",IFERROR(IF(INDEX(Referensi!$B$5:$B$60,MATCH(E972,Referensi!$A$5:$A$60,0))=D972,"OK","Jenis tidak cocok"),"Kategori tidak dikenal"))</f>
        <v/>
      </c>
    </row>
    <row r="973" ht="15" customHeight="1" s="33">
      <c r="A973" s="57">
        <f>IF(B973="","",ROW()-4)</f>
        <v/>
      </c>
      <c r="B973" s="58" t="n"/>
      <c r="C973" s="38" t="n"/>
      <c r="D973" s="38" t="n"/>
      <c r="E973" s="38" t="n"/>
      <c r="F973" s="57">
        <f>IF(E973="","",IFERROR(INDEX(Referensi!$C$5:$C$60,MATCH(E973,Referensi!$A$5:$A$60,0)),"?"))</f>
        <v/>
      </c>
      <c r="G973" s="38" t="n"/>
      <c r="H973" s="59" t="n"/>
      <c r="I973" s="38" t="n"/>
      <c r="J973" s="39" t="n"/>
      <c r="K973" s="60">
        <f>IF(J973="","",SUMIFS(J$5:J973,D$5:D973,"Masuk")-SUMIFS(J$5:J973,D$5:D973,"Keluar"))</f>
        <v/>
      </c>
      <c r="L973" s="38" t="n"/>
      <c r="M973" s="38" t="n"/>
      <c r="N973" s="57">
        <f>IF(E973="","",IFERROR(IF(INDEX(Referensi!$B$5:$B$60,MATCH(E973,Referensi!$A$5:$A$60,0))=D973,"OK","Jenis tidak cocok"),"Kategori tidak dikenal"))</f>
        <v/>
      </c>
    </row>
    <row r="974" ht="15" customHeight="1" s="33">
      <c r="A974" s="57">
        <f>IF(B974="","",ROW()-4)</f>
        <v/>
      </c>
      <c r="B974" s="58" t="n"/>
      <c r="C974" s="38" t="n"/>
      <c r="D974" s="38" t="n"/>
      <c r="E974" s="38" t="n"/>
      <c r="F974" s="57">
        <f>IF(E974="","",IFERROR(INDEX(Referensi!$C$5:$C$60,MATCH(E974,Referensi!$A$5:$A$60,0)),"?"))</f>
        <v/>
      </c>
      <c r="G974" s="38" t="n"/>
      <c r="H974" s="59" t="n"/>
      <c r="I974" s="38" t="n"/>
      <c r="J974" s="39" t="n"/>
      <c r="K974" s="60">
        <f>IF(J974="","",SUMIFS(J$5:J974,D$5:D974,"Masuk")-SUMIFS(J$5:J974,D$5:D974,"Keluar"))</f>
        <v/>
      </c>
      <c r="L974" s="38" t="n"/>
      <c r="M974" s="38" t="n"/>
      <c r="N974" s="57">
        <f>IF(E974="","",IFERROR(IF(INDEX(Referensi!$B$5:$B$60,MATCH(E974,Referensi!$A$5:$A$60,0))=D974,"OK","Jenis tidak cocok"),"Kategori tidak dikenal"))</f>
        <v/>
      </c>
    </row>
    <row r="975" ht="15" customHeight="1" s="33">
      <c r="A975" s="57">
        <f>IF(B975="","",ROW()-4)</f>
        <v/>
      </c>
      <c r="B975" s="58" t="n"/>
      <c r="C975" s="38" t="n"/>
      <c r="D975" s="38" t="n"/>
      <c r="E975" s="38" t="n"/>
      <c r="F975" s="57">
        <f>IF(E975="","",IFERROR(INDEX(Referensi!$C$5:$C$60,MATCH(E975,Referensi!$A$5:$A$60,0)),"?"))</f>
        <v/>
      </c>
      <c r="G975" s="38" t="n"/>
      <c r="H975" s="59" t="n"/>
      <c r="I975" s="38" t="n"/>
      <c r="J975" s="39" t="n"/>
      <c r="K975" s="60">
        <f>IF(J975="","",SUMIFS(J$5:J975,D$5:D975,"Masuk")-SUMIFS(J$5:J975,D$5:D975,"Keluar"))</f>
        <v/>
      </c>
      <c r="L975" s="38" t="n"/>
      <c r="M975" s="38" t="n"/>
      <c r="N975" s="57">
        <f>IF(E975="","",IFERROR(IF(INDEX(Referensi!$B$5:$B$60,MATCH(E975,Referensi!$A$5:$A$60,0))=D975,"OK","Jenis tidak cocok"),"Kategori tidak dikenal"))</f>
        <v/>
      </c>
    </row>
    <row r="976" ht="15" customHeight="1" s="33">
      <c r="A976" s="57">
        <f>IF(B976="","",ROW()-4)</f>
        <v/>
      </c>
      <c r="B976" s="58" t="n"/>
      <c r="C976" s="38" t="n"/>
      <c r="D976" s="38" t="n"/>
      <c r="E976" s="38" t="n"/>
      <c r="F976" s="57">
        <f>IF(E976="","",IFERROR(INDEX(Referensi!$C$5:$C$60,MATCH(E976,Referensi!$A$5:$A$60,0)),"?"))</f>
        <v/>
      </c>
      <c r="G976" s="38" t="n"/>
      <c r="H976" s="59" t="n"/>
      <c r="I976" s="38" t="n"/>
      <c r="J976" s="39" t="n"/>
      <c r="K976" s="60">
        <f>IF(J976="","",SUMIFS(J$5:J976,D$5:D976,"Masuk")-SUMIFS(J$5:J976,D$5:D976,"Keluar"))</f>
        <v/>
      </c>
      <c r="L976" s="38" t="n"/>
      <c r="M976" s="38" t="n"/>
      <c r="N976" s="57">
        <f>IF(E976="","",IFERROR(IF(INDEX(Referensi!$B$5:$B$60,MATCH(E976,Referensi!$A$5:$A$60,0))=D976,"OK","Jenis tidak cocok"),"Kategori tidak dikenal"))</f>
        <v/>
      </c>
    </row>
    <row r="977" ht="15" customHeight="1" s="33">
      <c r="A977" s="57">
        <f>IF(B977="","",ROW()-4)</f>
        <v/>
      </c>
      <c r="B977" s="58" t="n"/>
      <c r="C977" s="38" t="n"/>
      <c r="D977" s="38" t="n"/>
      <c r="E977" s="38" t="n"/>
      <c r="F977" s="57">
        <f>IF(E977="","",IFERROR(INDEX(Referensi!$C$5:$C$60,MATCH(E977,Referensi!$A$5:$A$60,0)),"?"))</f>
        <v/>
      </c>
      <c r="G977" s="38" t="n"/>
      <c r="H977" s="59" t="n"/>
      <c r="I977" s="38" t="n"/>
      <c r="J977" s="39" t="n"/>
      <c r="K977" s="60">
        <f>IF(J977="","",SUMIFS(J$5:J977,D$5:D977,"Masuk")-SUMIFS(J$5:J977,D$5:D977,"Keluar"))</f>
        <v/>
      </c>
      <c r="L977" s="38" t="n"/>
      <c r="M977" s="38" t="n"/>
      <c r="N977" s="57">
        <f>IF(E977="","",IFERROR(IF(INDEX(Referensi!$B$5:$B$60,MATCH(E977,Referensi!$A$5:$A$60,0))=D977,"OK","Jenis tidak cocok"),"Kategori tidak dikenal"))</f>
        <v/>
      </c>
    </row>
    <row r="978" ht="15" customHeight="1" s="33">
      <c r="A978" s="57">
        <f>IF(B978="","",ROW()-4)</f>
        <v/>
      </c>
      <c r="B978" s="58" t="n"/>
      <c r="C978" s="38" t="n"/>
      <c r="D978" s="38" t="n"/>
      <c r="E978" s="38" t="n"/>
      <c r="F978" s="57">
        <f>IF(E978="","",IFERROR(INDEX(Referensi!$C$5:$C$60,MATCH(E978,Referensi!$A$5:$A$60,0)),"?"))</f>
        <v/>
      </c>
      <c r="G978" s="38" t="n"/>
      <c r="H978" s="59" t="n"/>
      <c r="I978" s="38" t="n"/>
      <c r="J978" s="39" t="n"/>
      <c r="K978" s="60">
        <f>IF(J978="","",SUMIFS(J$5:J978,D$5:D978,"Masuk")-SUMIFS(J$5:J978,D$5:D978,"Keluar"))</f>
        <v/>
      </c>
      <c r="L978" s="38" t="n"/>
      <c r="M978" s="38" t="n"/>
      <c r="N978" s="57">
        <f>IF(E978="","",IFERROR(IF(INDEX(Referensi!$B$5:$B$60,MATCH(E978,Referensi!$A$5:$A$60,0))=D978,"OK","Jenis tidak cocok"),"Kategori tidak dikenal"))</f>
        <v/>
      </c>
    </row>
    <row r="979" ht="15" customHeight="1" s="33">
      <c r="A979" s="57">
        <f>IF(B979="","",ROW()-4)</f>
        <v/>
      </c>
      <c r="B979" s="58" t="n"/>
      <c r="C979" s="38" t="n"/>
      <c r="D979" s="38" t="n"/>
      <c r="E979" s="38" t="n"/>
      <c r="F979" s="57">
        <f>IF(E979="","",IFERROR(INDEX(Referensi!$C$5:$C$60,MATCH(E979,Referensi!$A$5:$A$60,0)),"?"))</f>
        <v/>
      </c>
      <c r="G979" s="38" t="n"/>
      <c r="H979" s="59" t="n"/>
      <c r="I979" s="38" t="n"/>
      <c r="J979" s="39" t="n"/>
      <c r="K979" s="60">
        <f>IF(J979="","",SUMIFS(J$5:J979,D$5:D979,"Masuk")-SUMIFS(J$5:J979,D$5:D979,"Keluar"))</f>
        <v/>
      </c>
      <c r="L979" s="38" t="n"/>
      <c r="M979" s="38" t="n"/>
      <c r="N979" s="57">
        <f>IF(E979="","",IFERROR(IF(INDEX(Referensi!$B$5:$B$60,MATCH(E979,Referensi!$A$5:$A$60,0))=D979,"OK","Jenis tidak cocok"),"Kategori tidak dikenal"))</f>
        <v/>
      </c>
    </row>
    <row r="980" ht="15" customHeight="1" s="33">
      <c r="A980" s="57">
        <f>IF(B980="","",ROW()-4)</f>
        <v/>
      </c>
      <c r="B980" s="58" t="n"/>
      <c r="C980" s="38" t="n"/>
      <c r="D980" s="38" t="n"/>
      <c r="E980" s="38" t="n"/>
      <c r="F980" s="57">
        <f>IF(E980="","",IFERROR(INDEX(Referensi!$C$5:$C$60,MATCH(E980,Referensi!$A$5:$A$60,0)),"?"))</f>
        <v/>
      </c>
      <c r="G980" s="38" t="n"/>
      <c r="H980" s="59" t="n"/>
      <c r="I980" s="38" t="n"/>
      <c r="J980" s="39" t="n"/>
      <c r="K980" s="60">
        <f>IF(J980="","",SUMIFS(J$5:J980,D$5:D980,"Masuk")-SUMIFS(J$5:J980,D$5:D980,"Keluar"))</f>
        <v/>
      </c>
      <c r="L980" s="38" t="n"/>
      <c r="M980" s="38" t="n"/>
      <c r="N980" s="57">
        <f>IF(E980="","",IFERROR(IF(INDEX(Referensi!$B$5:$B$60,MATCH(E980,Referensi!$A$5:$A$60,0))=D980,"OK","Jenis tidak cocok"),"Kategori tidak dikenal"))</f>
        <v/>
      </c>
    </row>
    <row r="981" ht="15" customHeight="1" s="33">
      <c r="A981" s="57">
        <f>IF(B981="","",ROW()-4)</f>
        <v/>
      </c>
      <c r="B981" s="58" t="n"/>
      <c r="C981" s="38" t="n"/>
      <c r="D981" s="38" t="n"/>
      <c r="E981" s="38" t="n"/>
      <c r="F981" s="57">
        <f>IF(E981="","",IFERROR(INDEX(Referensi!$C$5:$C$60,MATCH(E981,Referensi!$A$5:$A$60,0)),"?"))</f>
        <v/>
      </c>
      <c r="G981" s="38" t="n"/>
      <c r="H981" s="59" t="n"/>
      <c r="I981" s="38" t="n"/>
      <c r="J981" s="39" t="n"/>
      <c r="K981" s="60">
        <f>IF(J981="","",SUMIFS(J$5:J981,D$5:D981,"Masuk")-SUMIFS(J$5:J981,D$5:D981,"Keluar"))</f>
        <v/>
      </c>
      <c r="L981" s="38" t="n"/>
      <c r="M981" s="38" t="n"/>
      <c r="N981" s="57">
        <f>IF(E981="","",IFERROR(IF(INDEX(Referensi!$B$5:$B$60,MATCH(E981,Referensi!$A$5:$A$60,0))=D981,"OK","Jenis tidak cocok"),"Kategori tidak dikenal"))</f>
        <v/>
      </c>
    </row>
    <row r="982" ht="15" customHeight="1" s="33">
      <c r="A982" s="57">
        <f>IF(B982="","",ROW()-4)</f>
        <v/>
      </c>
      <c r="B982" s="58" t="n"/>
      <c r="C982" s="38" t="n"/>
      <c r="D982" s="38" t="n"/>
      <c r="E982" s="38" t="n"/>
      <c r="F982" s="57">
        <f>IF(E982="","",IFERROR(INDEX(Referensi!$C$5:$C$60,MATCH(E982,Referensi!$A$5:$A$60,0)),"?"))</f>
        <v/>
      </c>
      <c r="G982" s="38" t="n"/>
      <c r="H982" s="59" t="n"/>
      <c r="I982" s="38" t="n"/>
      <c r="J982" s="39" t="n"/>
      <c r="K982" s="60">
        <f>IF(J982="","",SUMIFS(J$5:J982,D$5:D982,"Masuk")-SUMIFS(J$5:J982,D$5:D982,"Keluar"))</f>
        <v/>
      </c>
      <c r="L982" s="38" t="n"/>
      <c r="M982" s="38" t="n"/>
      <c r="N982" s="57">
        <f>IF(E982="","",IFERROR(IF(INDEX(Referensi!$B$5:$B$60,MATCH(E982,Referensi!$A$5:$A$60,0))=D982,"OK","Jenis tidak cocok"),"Kategori tidak dikenal"))</f>
        <v/>
      </c>
    </row>
    <row r="983" ht="15" customHeight="1" s="33">
      <c r="A983" s="57">
        <f>IF(B983="","",ROW()-4)</f>
        <v/>
      </c>
      <c r="B983" s="58" t="n"/>
      <c r="C983" s="38" t="n"/>
      <c r="D983" s="38" t="n"/>
      <c r="E983" s="38" t="n"/>
      <c r="F983" s="57">
        <f>IF(E983="","",IFERROR(INDEX(Referensi!$C$5:$C$60,MATCH(E983,Referensi!$A$5:$A$60,0)),"?"))</f>
        <v/>
      </c>
      <c r="G983" s="38" t="n"/>
      <c r="H983" s="59" t="n"/>
      <c r="I983" s="38" t="n"/>
      <c r="J983" s="39" t="n"/>
      <c r="K983" s="60">
        <f>IF(J983="","",SUMIFS(J$5:J983,D$5:D983,"Masuk")-SUMIFS(J$5:J983,D$5:D983,"Keluar"))</f>
        <v/>
      </c>
      <c r="L983" s="38" t="n"/>
      <c r="M983" s="38" t="n"/>
      <c r="N983" s="57">
        <f>IF(E983="","",IFERROR(IF(INDEX(Referensi!$B$5:$B$60,MATCH(E983,Referensi!$A$5:$A$60,0))=D983,"OK","Jenis tidak cocok"),"Kategori tidak dikenal"))</f>
        <v/>
      </c>
    </row>
    <row r="984" ht="15" customHeight="1" s="33">
      <c r="A984" s="57">
        <f>IF(B984="","",ROW()-4)</f>
        <v/>
      </c>
      <c r="B984" s="58" t="n"/>
      <c r="C984" s="38" t="n"/>
      <c r="D984" s="38" t="n"/>
      <c r="E984" s="38" t="n"/>
      <c r="F984" s="57">
        <f>IF(E984="","",IFERROR(INDEX(Referensi!$C$5:$C$60,MATCH(E984,Referensi!$A$5:$A$60,0)),"?"))</f>
        <v/>
      </c>
      <c r="G984" s="38" t="n"/>
      <c r="H984" s="59" t="n"/>
      <c r="I984" s="38" t="n"/>
      <c r="J984" s="39" t="n"/>
      <c r="K984" s="60">
        <f>IF(J984="","",SUMIFS(J$5:J984,D$5:D984,"Masuk")-SUMIFS(J$5:J984,D$5:D984,"Keluar"))</f>
        <v/>
      </c>
      <c r="L984" s="38" t="n"/>
      <c r="M984" s="38" t="n"/>
      <c r="N984" s="57">
        <f>IF(E984="","",IFERROR(IF(INDEX(Referensi!$B$5:$B$60,MATCH(E984,Referensi!$A$5:$A$60,0))=D984,"OK","Jenis tidak cocok"),"Kategori tidak dikenal"))</f>
        <v/>
      </c>
    </row>
    <row r="985" ht="15" customHeight="1" s="33">
      <c r="A985" s="57">
        <f>IF(B985="","",ROW()-4)</f>
        <v/>
      </c>
      <c r="B985" s="58" t="n"/>
      <c r="C985" s="38" t="n"/>
      <c r="D985" s="38" t="n"/>
      <c r="E985" s="38" t="n"/>
      <c r="F985" s="57">
        <f>IF(E985="","",IFERROR(INDEX(Referensi!$C$5:$C$60,MATCH(E985,Referensi!$A$5:$A$60,0)),"?"))</f>
        <v/>
      </c>
      <c r="G985" s="38" t="n"/>
      <c r="H985" s="59" t="n"/>
      <c r="I985" s="38" t="n"/>
      <c r="J985" s="39" t="n"/>
      <c r="K985" s="60">
        <f>IF(J985="","",SUMIFS(J$5:J985,D$5:D985,"Masuk")-SUMIFS(J$5:J985,D$5:D985,"Keluar"))</f>
        <v/>
      </c>
      <c r="L985" s="38" t="n"/>
      <c r="M985" s="38" t="n"/>
      <c r="N985" s="57">
        <f>IF(E985="","",IFERROR(IF(INDEX(Referensi!$B$5:$B$60,MATCH(E985,Referensi!$A$5:$A$60,0))=D985,"OK","Jenis tidak cocok"),"Kategori tidak dikenal"))</f>
        <v/>
      </c>
    </row>
    <row r="986" ht="15" customHeight="1" s="33">
      <c r="A986" s="57">
        <f>IF(B986="","",ROW()-4)</f>
        <v/>
      </c>
      <c r="B986" s="58" t="n"/>
      <c r="C986" s="38" t="n"/>
      <c r="D986" s="38" t="n"/>
      <c r="E986" s="38" t="n"/>
      <c r="F986" s="57">
        <f>IF(E986="","",IFERROR(INDEX(Referensi!$C$5:$C$60,MATCH(E986,Referensi!$A$5:$A$60,0)),"?"))</f>
        <v/>
      </c>
      <c r="G986" s="38" t="n"/>
      <c r="H986" s="59" t="n"/>
      <c r="I986" s="38" t="n"/>
      <c r="J986" s="39" t="n"/>
      <c r="K986" s="60">
        <f>IF(J986="","",SUMIFS(J$5:J986,D$5:D986,"Masuk")-SUMIFS(J$5:J986,D$5:D986,"Keluar"))</f>
        <v/>
      </c>
      <c r="L986" s="38" t="n"/>
      <c r="M986" s="38" t="n"/>
      <c r="N986" s="57">
        <f>IF(E986="","",IFERROR(IF(INDEX(Referensi!$B$5:$B$60,MATCH(E986,Referensi!$A$5:$A$60,0))=D986,"OK","Jenis tidak cocok"),"Kategori tidak dikenal"))</f>
        <v/>
      </c>
    </row>
    <row r="987" ht="15" customHeight="1" s="33">
      <c r="A987" s="57">
        <f>IF(B987="","",ROW()-4)</f>
        <v/>
      </c>
      <c r="B987" s="58" t="n"/>
      <c r="C987" s="38" t="n"/>
      <c r="D987" s="38" t="n"/>
      <c r="E987" s="38" t="n"/>
      <c r="F987" s="57">
        <f>IF(E987="","",IFERROR(INDEX(Referensi!$C$5:$C$60,MATCH(E987,Referensi!$A$5:$A$60,0)),"?"))</f>
        <v/>
      </c>
      <c r="G987" s="38" t="n"/>
      <c r="H987" s="59" t="n"/>
      <c r="I987" s="38" t="n"/>
      <c r="J987" s="39" t="n"/>
      <c r="K987" s="60">
        <f>IF(J987="","",SUMIFS(J$5:J987,D$5:D987,"Masuk")-SUMIFS(J$5:J987,D$5:D987,"Keluar"))</f>
        <v/>
      </c>
      <c r="L987" s="38" t="n"/>
      <c r="M987" s="38" t="n"/>
      <c r="N987" s="57">
        <f>IF(E987="","",IFERROR(IF(INDEX(Referensi!$B$5:$B$60,MATCH(E987,Referensi!$A$5:$A$60,0))=D987,"OK","Jenis tidak cocok"),"Kategori tidak dikenal"))</f>
        <v/>
      </c>
    </row>
    <row r="988" ht="15" customHeight="1" s="33">
      <c r="A988" s="57">
        <f>IF(B988="","",ROW()-4)</f>
        <v/>
      </c>
      <c r="B988" s="58" t="n"/>
      <c r="C988" s="38" t="n"/>
      <c r="D988" s="38" t="n"/>
      <c r="E988" s="38" t="n"/>
      <c r="F988" s="57">
        <f>IF(E988="","",IFERROR(INDEX(Referensi!$C$5:$C$60,MATCH(E988,Referensi!$A$5:$A$60,0)),"?"))</f>
        <v/>
      </c>
      <c r="G988" s="38" t="n"/>
      <c r="H988" s="59" t="n"/>
      <c r="I988" s="38" t="n"/>
      <c r="J988" s="39" t="n"/>
      <c r="K988" s="60">
        <f>IF(J988="","",SUMIFS(J$5:J988,D$5:D988,"Masuk")-SUMIFS(J$5:J988,D$5:D988,"Keluar"))</f>
        <v/>
      </c>
      <c r="L988" s="38" t="n"/>
      <c r="M988" s="38" t="n"/>
      <c r="N988" s="57">
        <f>IF(E988="","",IFERROR(IF(INDEX(Referensi!$B$5:$B$60,MATCH(E988,Referensi!$A$5:$A$60,0))=D988,"OK","Jenis tidak cocok"),"Kategori tidak dikenal"))</f>
        <v/>
      </c>
    </row>
    <row r="989" ht="15" customHeight="1" s="33">
      <c r="A989" s="57">
        <f>IF(B989="","",ROW()-4)</f>
        <v/>
      </c>
      <c r="B989" s="58" t="n"/>
      <c r="C989" s="38" t="n"/>
      <c r="D989" s="38" t="n"/>
      <c r="E989" s="38" t="n"/>
      <c r="F989" s="57">
        <f>IF(E989="","",IFERROR(INDEX(Referensi!$C$5:$C$60,MATCH(E989,Referensi!$A$5:$A$60,0)),"?"))</f>
        <v/>
      </c>
      <c r="G989" s="38" t="n"/>
      <c r="H989" s="59" t="n"/>
      <c r="I989" s="38" t="n"/>
      <c r="J989" s="39" t="n"/>
      <c r="K989" s="60">
        <f>IF(J989="","",SUMIFS(J$5:J989,D$5:D989,"Masuk")-SUMIFS(J$5:J989,D$5:D989,"Keluar"))</f>
        <v/>
      </c>
      <c r="L989" s="38" t="n"/>
      <c r="M989" s="38" t="n"/>
      <c r="N989" s="57">
        <f>IF(E989="","",IFERROR(IF(INDEX(Referensi!$B$5:$B$60,MATCH(E989,Referensi!$A$5:$A$60,0))=D989,"OK","Jenis tidak cocok"),"Kategori tidak dikenal"))</f>
        <v/>
      </c>
    </row>
    <row r="990" ht="15" customHeight="1" s="33">
      <c r="A990" s="57">
        <f>IF(B990="","",ROW()-4)</f>
        <v/>
      </c>
      <c r="B990" s="58" t="n"/>
      <c r="C990" s="38" t="n"/>
      <c r="D990" s="38" t="n"/>
      <c r="E990" s="38" t="n"/>
      <c r="F990" s="57">
        <f>IF(E990="","",IFERROR(INDEX(Referensi!$C$5:$C$60,MATCH(E990,Referensi!$A$5:$A$60,0)),"?"))</f>
        <v/>
      </c>
      <c r="G990" s="38" t="n"/>
      <c r="H990" s="59" t="n"/>
      <c r="I990" s="38" t="n"/>
      <c r="J990" s="39" t="n"/>
      <c r="K990" s="60">
        <f>IF(J990="","",SUMIFS(J$5:J990,D$5:D990,"Masuk")-SUMIFS(J$5:J990,D$5:D990,"Keluar"))</f>
        <v/>
      </c>
      <c r="L990" s="38" t="n"/>
      <c r="M990" s="38" t="n"/>
      <c r="N990" s="57">
        <f>IF(E990="","",IFERROR(IF(INDEX(Referensi!$B$5:$B$60,MATCH(E990,Referensi!$A$5:$A$60,0))=D990,"OK","Jenis tidak cocok"),"Kategori tidak dikenal"))</f>
        <v/>
      </c>
    </row>
    <row r="991" ht="15" customHeight="1" s="33">
      <c r="A991" s="57">
        <f>IF(B991="","",ROW()-4)</f>
        <v/>
      </c>
      <c r="B991" s="58" t="n"/>
      <c r="C991" s="38" t="n"/>
      <c r="D991" s="38" t="n"/>
      <c r="E991" s="38" t="n"/>
      <c r="F991" s="57">
        <f>IF(E991="","",IFERROR(INDEX(Referensi!$C$5:$C$60,MATCH(E991,Referensi!$A$5:$A$60,0)),"?"))</f>
        <v/>
      </c>
      <c r="G991" s="38" t="n"/>
      <c r="H991" s="59" t="n"/>
      <c r="I991" s="38" t="n"/>
      <c r="J991" s="39" t="n"/>
      <c r="K991" s="60">
        <f>IF(J991="","",SUMIFS(J$5:J991,D$5:D991,"Masuk")-SUMIFS(J$5:J991,D$5:D991,"Keluar"))</f>
        <v/>
      </c>
      <c r="L991" s="38" t="n"/>
      <c r="M991" s="38" t="n"/>
      <c r="N991" s="57">
        <f>IF(E991="","",IFERROR(IF(INDEX(Referensi!$B$5:$B$60,MATCH(E991,Referensi!$A$5:$A$60,0))=D991,"OK","Jenis tidak cocok"),"Kategori tidak dikenal"))</f>
        <v/>
      </c>
    </row>
    <row r="992" ht="15" customHeight="1" s="33">
      <c r="A992" s="57">
        <f>IF(B992="","",ROW()-4)</f>
        <v/>
      </c>
      <c r="B992" s="58" t="n"/>
      <c r="C992" s="38" t="n"/>
      <c r="D992" s="38" t="n"/>
      <c r="E992" s="38" t="n"/>
      <c r="F992" s="57">
        <f>IF(E992="","",IFERROR(INDEX(Referensi!$C$5:$C$60,MATCH(E992,Referensi!$A$5:$A$60,0)),"?"))</f>
        <v/>
      </c>
      <c r="G992" s="38" t="n"/>
      <c r="H992" s="59" t="n"/>
      <c r="I992" s="38" t="n"/>
      <c r="J992" s="39" t="n"/>
      <c r="K992" s="60">
        <f>IF(J992="","",SUMIFS(J$5:J992,D$5:D992,"Masuk")-SUMIFS(J$5:J992,D$5:D992,"Keluar"))</f>
        <v/>
      </c>
      <c r="L992" s="38" t="n"/>
      <c r="M992" s="38" t="n"/>
      <c r="N992" s="57">
        <f>IF(E992="","",IFERROR(IF(INDEX(Referensi!$B$5:$B$60,MATCH(E992,Referensi!$A$5:$A$60,0))=D992,"OK","Jenis tidak cocok"),"Kategori tidak dikenal"))</f>
        <v/>
      </c>
    </row>
    <row r="993" ht="15" customHeight="1" s="33">
      <c r="A993" s="57">
        <f>IF(B993="","",ROW()-4)</f>
        <v/>
      </c>
      <c r="B993" s="58" t="n"/>
      <c r="C993" s="38" t="n"/>
      <c r="D993" s="38" t="n"/>
      <c r="E993" s="38" t="n"/>
      <c r="F993" s="57">
        <f>IF(E993="","",IFERROR(INDEX(Referensi!$C$5:$C$60,MATCH(E993,Referensi!$A$5:$A$60,0)),"?"))</f>
        <v/>
      </c>
      <c r="G993" s="38" t="n"/>
      <c r="H993" s="59" t="n"/>
      <c r="I993" s="38" t="n"/>
      <c r="J993" s="39" t="n"/>
      <c r="K993" s="60">
        <f>IF(J993="","",SUMIFS(J$5:J993,D$5:D993,"Masuk")-SUMIFS(J$5:J993,D$5:D993,"Keluar"))</f>
        <v/>
      </c>
      <c r="L993" s="38" t="n"/>
      <c r="M993" s="38" t="n"/>
      <c r="N993" s="57">
        <f>IF(E993="","",IFERROR(IF(INDEX(Referensi!$B$5:$B$60,MATCH(E993,Referensi!$A$5:$A$60,0))=D993,"OK","Jenis tidak cocok"),"Kategori tidak dikenal"))</f>
        <v/>
      </c>
    </row>
    <row r="994" ht="15" customHeight="1" s="33">
      <c r="A994" s="57">
        <f>IF(B994="","",ROW()-4)</f>
        <v/>
      </c>
      <c r="B994" s="58" t="n"/>
      <c r="C994" s="38" t="n"/>
      <c r="D994" s="38" t="n"/>
      <c r="E994" s="38" t="n"/>
      <c r="F994" s="57">
        <f>IF(E994="","",IFERROR(INDEX(Referensi!$C$5:$C$60,MATCH(E994,Referensi!$A$5:$A$60,0)),"?"))</f>
        <v/>
      </c>
      <c r="G994" s="38" t="n"/>
      <c r="H994" s="59" t="n"/>
      <c r="I994" s="38" t="n"/>
      <c r="J994" s="39" t="n"/>
      <c r="K994" s="60">
        <f>IF(J994="","",SUMIFS(J$5:J994,D$5:D994,"Masuk")-SUMIFS(J$5:J994,D$5:D994,"Keluar"))</f>
        <v/>
      </c>
      <c r="L994" s="38" t="n"/>
      <c r="M994" s="38" t="n"/>
      <c r="N994" s="57">
        <f>IF(E994="","",IFERROR(IF(INDEX(Referensi!$B$5:$B$60,MATCH(E994,Referensi!$A$5:$A$60,0))=D994,"OK","Jenis tidak cocok"),"Kategori tidak dikenal"))</f>
        <v/>
      </c>
    </row>
    <row r="995" ht="15" customHeight="1" s="33">
      <c r="A995" s="57">
        <f>IF(B995="","",ROW()-4)</f>
        <v/>
      </c>
      <c r="B995" s="58" t="n"/>
      <c r="C995" s="38" t="n"/>
      <c r="D995" s="38" t="n"/>
      <c r="E995" s="38" t="n"/>
      <c r="F995" s="57">
        <f>IF(E995="","",IFERROR(INDEX(Referensi!$C$5:$C$60,MATCH(E995,Referensi!$A$5:$A$60,0)),"?"))</f>
        <v/>
      </c>
      <c r="G995" s="38" t="n"/>
      <c r="H995" s="59" t="n"/>
      <c r="I995" s="38" t="n"/>
      <c r="J995" s="39" t="n"/>
      <c r="K995" s="60">
        <f>IF(J995="","",SUMIFS(J$5:J995,D$5:D995,"Masuk")-SUMIFS(J$5:J995,D$5:D995,"Keluar"))</f>
        <v/>
      </c>
      <c r="L995" s="38" t="n"/>
      <c r="M995" s="38" t="n"/>
      <c r="N995" s="57">
        <f>IF(E995="","",IFERROR(IF(INDEX(Referensi!$B$5:$B$60,MATCH(E995,Referensi!$A$5:$A$60,0))=D995,"OK","Jenis tidak cocok"),"Kategori tidak dikenal"))</f>
        <v/>
      </c>
    </row>
    <row r="996" ht="15" customHeight="1" s="33">
      <c r="A996" s="57">
        <f>IF(B996="","",ROW()-4)</f>
        <v/>
      </c>
      <c r="B996" s="58" t="n"/>
      <c r="C996" s="38" t="n"/>
      <c r="D996" s="38" t="n"/>
      <c r="E996" s="38" t="n"/>
      <c r="F996" s="57">
        <f>IF(E996="","",IFERROR(INDEX(Referensi!$C$5:$C$60,MATCH(E996,Referensi!$A$5:$A$60,0)),"?"))</f>
        <v/>
      </c>
      <c r="G996" s="38" t="n"/>
      <c r="H996" s="59" t="n"/>
      <c r="I996" s="38" t="n"/>
      <c r="J996" s="39" t="n"/>
      <c r="K996" s="60">
        <f>IF(J996="","",SUMIFS(J$5:J996,D$5:D996,"Masuk")-SUMIFS(J$5:J996,D$5:D996,"Keluar"))</f>
        <v/>
      </c>
      <c r="L996" s="38" t="n"/>
      <c r="M996" s="38" t="n"/>
      <c r="N996" s="57">
        <f>IF(E996="","",IFERROR(IF(INDEX(Referensi!$B$5:$B$60,MATCH(E996,Referensi!$A$5:$A$60,0))=D996,"OK","Jenis tidak cocok"),"Kategori tidak dikenal"))</f>
        <v/>
      </c>
    </row>
    <row r="997" ht="15" customHeight="1" s="33">
      <c r="A997" s="57">
        <f>IF(B997="","",ROW()-4)</f>
        <v/>
      </c>
      <c r="B997" s="58" t="n"/>
      <c r="C997" s="38" t="n"/>
      <c r="D997" s="38" t="n"/>
      <c r="E997" s="38" t="n"/>
      <c r="F997" s="57">
        <f>IF(E997="","",IFERROR(INDEX(Referensi!$C$5:$C$60,MATCH(E997,Referensi!$A$5:$A$60,0)),"?"))</f>
        <v/>
      </c>
      <c r="G997" s="38" t="n"/>
      <c r="H997" s="59" t="n"/>
      <c r="I997" s="38" t="n"/>
      <c r="J997" s="39" t="n"/>
      <c r="K997" s="60">
        <f>IF(J997="","",SUMIFS(J$5:J997,D$5:D997,"Masuk")-SUMIFS(J$5:J997,D$5:D997,"Keluar"))</f>
        <v/>
      </c>
      <c r="L997" s="38" t="n"/>
      <c r="M997" s="38" t="n"/>
      <c r="N997" s="57">
        <f>IF(E997="","",IFERROR(IF(INDEX(Referensi!$B$5:$B$60,MATCH(E997,Referensi!$A$5:$A$60,0))=D997,"OK","Jenis tidak cocok"),"Kategori tidak dikenal"))</f>
        <v/>
      </c>
    </row>
    <row r="998" ht="15" customHeight="1" s="33">
      <c r="A998" s="57">
        <f>IF(B998="","",ROW()-4)</f>
        <v/>
      </c>
      <c r="B998" s="58" t="n"/>
      <c r="C998" s="38" t="n"/>
      <c r="D998" s="38" t="n"/>
      <c r="E998" s="38" t="n"/>
      <c r="F998" s="57">
        <f>IF(E998="","",IFERROR(INDEX(Referensi!$C$5:$C$60,MATCH(E998,Referensi!$A$5:$A$60,0)),"?"))</f>
        <v/>
      </c>
      <c r="G998" s="38" t="n"/>
      <c r="H998" s="59" t="n"/>
      <c r="I998" s="38" t="n"/>
      <c r="J998" s="39" t="n"/>
      <c r="K998" s="60">
        <f>IF(J998="","",SUMIFS(J$5:J998,D$5:D998,"Masuk")-SUMIFS(J$5:J998,D$5:D998,"Keluar"))</f>
        <v/>
      </c>
      <c r="L998" s="38" t="n"/>
      <c r="M998" s="38" t="n"/>
      <c r="N998" s="57">
        <f>IF(E998="","",IFERROR(IF(INDEX(Referensi!$B$5:$B$60,MATCH(E998,Referensi!$A$5:$A$60,0))=D998,"OK","Jenis tidak cocok"),"Kategori tidak dikenal"))</f>
        <v/>
      </c>
    </row>
    <row r="999" ht="15" customHeight="1" s="33">
      <c r="A999" s="57">
        <f>IF(B999="","",ROW()-4)</f>
        <v/>
      </c>
      <c r="B999" s="58" t="n"/>
      <c r="C999" s="38" t="n"/>
      <c r="D999" s="38" t="n"/>
      <c r="E999" s="38" t="n"/>
      <c r="F999" s="57">
        <f>IF(E999="","",IFERROR(INDEX(Referensi!$C$5:$C$60,MATCH(E999,Referensi!$A$5:$A$60,0)),"?"))</f>
        <v/>
      </c>
      <c r="G999" s="38" t="n"/>
      <c r="H999" s="59" t="n"/>
      <c r="I999" s="38" t="n"/>
      <c r="J999" s="39" t="n"/>
      <c r="K999" s="60">
        <f>IF(J999="","",SUMIFS(J$5:J999,D$5:D999,"Masuk")-SUMIFS(J$5:J999,D$5:D999,"Keluar"))</f>
        <v/>
      </c>
      <c r="L999" s="38" t="n"/>
      <c r="M999" s="38" t="n"/>
      <c r="N999" s="57">
        <f>IF(E999="","",IFERROR(IF(INDEX(Referensi!$B$5:$B$60,MATCH(E999,Referensi!$A$5:$A$60,0))=D999,"OK","Jenis tidak cocok"),"Kategori tidak dikenal"))</f>
        <v/>
      </c>
    </row>
    <row r="1000" ht="15" customHeight="1" s="33">
      <c r="A1000" s="57">
        <f>IF(B1000="","",ROW()-4)</f>
        <v/>
      </c>
      <c r="B1000" s="58" t="n"/>
      <c r="C1000" s="38" t="n"/>
      <c r="D1000" s="38" t="n"/>
      <c r="E1000" s="38" t="n"/>
      <c r="F1000" s="57">
        <f>IF(E1000="","",IFERROR(INDEX(Referensi!$C$5:$C$60,MATCH(E1000,Referensi!$A$5:$A$60,0)),"?"))</f>
        <v/>
      </c>
      <c r="G1000" s="38" t="n"/>
      <c r="H1000" s="59" t="n"/>
      <c r="I1000" s="38" t="n"/>
      <c r="J1000" s="39" t="n"/>
      <c r="K1000" s="60">
        <f>IF(J1000="","",SUMIFS(J$5:J1000,D$5:D1000,"Masuk")-SUMIFS(J$5:J1000,D$5:D1000,"Keluar"))</f>
        <v/>
      </c>
      <c r="L1000" s="38" t="n"/>
      <c r="M1000" s="38" t="n"/>
      <c r="N1000" s="57">
        <f>IF(E1000="","",IFERROR(IF(INDEX(Referensi!$B$5:$B$60,MATCH(E1000,Referensi!$A$5:$A$60,0))=D1000,"OK","Jenis tidak cocok"),"Kategori tidak dikenal"))</f>
        <v/>
      </c>
    </row>
    <row r="1001" ht="15" customHeight="1" s="33">
      <c r="A1001" s="57">
        <f>IF(B1001="","",ROW()-4)</f>
        <v/>
      </c>
      <c r="B1001" s="58" t="n"/>
      <c r="C1001" s="38" t="n"/>
      <c r="D1001" s="38" t="n"/>
      <c r="E1001" s="38" t="n"/>
      <c r="F1001" s="57">
        <f>IF(E1001="","",IFERROR(INDEX(Referensi!$C$5:$C$60,MATCH(E1001,Referensi!$A$5:$A$60,0)),"?"))</f>
        <v/>
      </c>
      <c r="G1001" s="38" t="n"/>
      <c r="H1001" s="59" t="n"/>
      <c r="I1001" s="38" t="n"/>
      <c r="J1001" s="39" t="n"/>
      <c r="K1001" s="60">
        <f>IF(J1001="","",SUMIFS(J$5:J1001,D$5:D1001,"Masuk")-SUMIFS(J$5:J1001,D$5:D1001,"Keluar"))</f>
        <v/>
      </c>
      <c r="L1001" s="38" t="n"/>
      <c r="M1001" s="38" t="n"/>
      <c r="N1001" s="57">
        <f>IF(E1001="","",IFERROR(IF(INDEX(Referensi!$B$5:$B$60,MATCH(E1001,Referensi!$A$5:$A$60,0))=D1001,"OK","Jenis tidak cocok"),"Kategori tidak dikenal"))</f>
        <v/>
      </c>
    </row>
    <row r="1002" ht="15" customHeight="1" s="33">
      <c r="A1002" s="57">
        <f>IF(B1002="","",ROW()-4)</f>
        <v/>
      </c>
      <c r="B1002" s="58" t="n"/>
      <c r="C1002" s="38" t="n"/>
      <c r="D1002" s="38" t="n"/>
      <c r="E1002" s="38" t="n"/>
      <c r="F1002" s="57">
        <f>IF(E1002="","",IFERROR(INDEX(Referensi!$C$5:$C$60,MATCH(E1002,Referensi!$A$5:$A$60,0)),"?"))</f>
        <v/>
      </c>
      <c r="G1002" s="38" t="n"/>
      <c r="H1002" s="59" t="n"/>
      <c r="I1002" s="38" t="n"/>
      <c r="J1002" s="39" t="n"/>
      <c r="K1002" s="60">
        <f>IF(J1002="","",SUMIFS(J$5:J1002,D$5:D1002,"Masuk")-SUMIFS(J$5:J1002,D$5:D1002,"Keluar"))</f>
        <v/>
      </c>
      <c r="L1002" s="38" t="n"/>
      <c r="M1002" s="38" t="n"/>
      <c r="N1002" s="57">
        <f>IF(E1002="","",IFERROR(IF(INDEX(Referensi!$B$5:$B$60,MATCH(E1002,Referensi!$A$5:$A$60,0))=D1002,"OK","Jenis tidak cocok"),"Kategori tidak dikenal"))</f>
        <v/>
      </c>
    </row>
    <row r="1003" ht="15" customHeight="1" s="33">
      <c r="A1003" s="57">
        <f>IF(B1003="","",ROW()-4)</f>
        <v/>
      </c>
      <c r="B1003" s="58" t="n"/>
      <c r="C1003" s="38" t="n"/>
      <c r="D1003" s="38" t="n"/>
      <c r="E1003" s="38" t="n"/>
      <c r="F1003" s="57">
        <f>IF(E1003="","",IFERROR(INDEX(Referensi!$C$5:$C$60,MATCH(E1003,Referensi!$A$5:$A$60,0)),"?"))</f>
        <v/>
      </c>
      <c r="G1003" s="38" t="n"/>
      <c r="H1003" s="59" t="n"/>
      <c r="I1003" s="38" t="n"/>
      <c r="J1003" s="39" t="n"/>
      <c r="K1003" s="60">
        <f>IF(J1003="","",SUMIFS(J$5:J1003,D$5:D1003,"Masuk")-SUMIFS(J$5:J1003,D$5:D1003,"Keluar"))</f>
        <v/>
      </c>
      <c r="L1003" s="38" t="n"/>
      <c r="M1003" s="38" t="n"/>
      <c r="N1003" s="57">
        <f>IF(E1003="","",IFERROR(IF(INDEX(Referensi!$B$5:$B$60,MATCH(E1003,Referensi!$A$5:$A$60,0))=D1003,"OK","Jenis tidak cocok"),"Kategori tidak dikenal"))</f>
        <v/>
      </c>
    </row>
    <row r="1004" ht="15" customHeight="1" s="33">
      <c r="A1004" s="57">
        <f>IF(B1004="","",ROW()-4)</f>
        <v/>
      </c>
      <c r="B1004" s="58" t="n"/>
      <c r="C1004" s="38" t="n"/>
      <c r="D1004" s="38" t="n"/>
      <c r="E1004" s="38" t="n"/>
      <c r="F1004" s="57">
        <f>IF(E1004="","",IFERROR(INDEX(Referensi!$C$5:$C$60,MATCH(E1004,Referensi!$A$5:$A$60,0)),"?"))</f>
        <v/>
      </c>
      <c r="G1004" s="38" t="n"/>
      <c r="H1004" s="59" t="n"/>
      <c r="I1004" s="38" t="n"/>
      <c r="J1004" s="39" t="n"/>
      <c r="K1004" s="60">
        <f>IF(J1004="","",SUMIFS(J$5:J1004,D$5:D1004,"Masuk")-SUMIFS(J$5:J1004,D$5:D1004,"Keluar"))</f>
        <v/>
      </c>
      <c r="L1004" s="38" t="n"/>
      <c r="M1004" s="38" t="n"/>
      <c r="N1004" s="57">
        <f>IF(E1004="","",IFERROR(IF(INDEX(Referensi!$B$5:$B$60,MATCH(E1004,Referensi!$A$5:$A$60,0))=D1004,"OK","Jenis tidak cocok"),"Kategori tidak dikenal"))</f>
        <v/>
      </c>
    </row>
  </sheetData>
  <autoFilter ref="A4:N1004"/>
  <conditionalFormatting sqref="N5:N1004">
    <cfRule type="expression" rank="0" priority="2" equalAverage="0" aboveAverage="0" dxfId="5" text="" percent="0" bottom="0">
      <formula>AND(N5&lt;&gt;"",N5&lt;&gt;"OK")</formula>
    </cfRule>
  </conditionalFormatting>
  <conditionalFormatting sqref="K5:K1004">
    <cfRule type="expression" rank="0" priority="3" equalAverage="0" aboveAverage="0" dxfId="6" text="" percent="0" bottom="0">
      <formula>AND(ISNUMBER(K5),K5&lt;0)</formula>
    </cfRule>
  </conditionalFormatting>
  <dataValidations count="6">
    <dataValidation sqref="D5:D1004" showDropDown="0" showInputMessage="1" showErrorMessage="1" allowBlank="1" errorTitle="Pilihan tidak tersedia" error="Pilih dari daftar. Untuk menambah pilihan, isi tab Referensi." promptTitle="Pilih dari daftar" prompt="Masuk atau Keluar" type="list" errorStyle="stop" operator="between">
      <formula1>Referensi!$L$5:$L$6</formula1>
      <formula2>0</formula2>
    </dataValidation>
    <dataValidation sqref="E5:E1004" showDropDown="0" showInputMessage="1" showErrorMessage="1" allowBlank="1" errorTitle="Pilihan tidak tersedia" error="Pilih dari daftar. Untuk menambah pilihan, isi tab Referensi." promptTitle="Pilih dari daftar" prompt="Kategori dari tab Referensi" type="list" errorStyle="stop" operator="between">
      <formula1>Referensi!$A$5:$A$60</formula1>
      <formula2>0</formula2>
    </dataValidation>
    <dataValidation sqref="G5:G1004" showDropDown="0" showInputMessage="1" showErrorMessage="1" allowBlank="1" errorTitle="Pilihan tidak tersedia" error="Pilih dari daftar. Untuk menambah pilihan, isi tab Referensi." promptTitle="Pilih dari daftar" prompt="Proyek dari tab Referensi" type="list" errorStyle="stop" operator="between">
      <formula1>Referensi!$F$5:$F$20</formula1>
      <formula2>0</formula2>
    </dataValidation>
    <dataValidation sqref="M5:M1004" showDropDown="0" showInputMessage="1" showErrorMessage="1" allowBlank="1" errorTitle="Pilihan tidak tersedia" error="Pilih dari daftar. Untuk menambah pilihan, isi tab Referensi." promptTitle="Pilih dari daftar" prompt="Sudah dicek bukti &amp; jumlahnya?" type="list" errorStyle="stop" operator="between">
      <formula1>Referensi!$M$5:$M$6</formula1>
      <formula2>0</formula2>
    </dataValidation>
    <dataValidation sqref="B5:B1004" showDropDown="0" showInputMessage="0" showErrorMessage="1" allowBlank="1" errorTitle="Tanggal tidak valid" error="Isi tanggal, contoh 15/10/2026" type="date" errorStyle="stop" operator="greaterThan">
      <formula1>DATE(2020,1,1)</formula1>
      <formula2>0</formula2>
    </dataValidation>
    <dataValidation sqref="J5:J1004" showDropDown="0" showInputMessage="0" showErrorMessage="1" allowBlank="1" errorTitle="Jumlah tidak valid" error="Isi angka positif tanpa titik/Rp. Arah uang ditentukan kolom Jenis." type="decimal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A7C48A"/>
    <outlinePr summaryBelow="1" summaryRight="1"/>
    <pageSetUpPr fitToPage="0"/>
  </sheetPr>
  <dimension ref="A1:J10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12" customWidth="1" style="32" min="2" max="2"/>
    <col width="20" customWidth="1" style="32" min="3" max="3"/>
    <col width="30" customWidth="1" style="32" min="4" max="4"/>
    <col width="12" customWidth="1" style="32" min="5" max="5"/>
    <col width="16" customWidth="1" style="32" min="6" max="6"/>
    <col width="26" customWidth="1" style="32" min="7" max="7"/>
    <col width="40" customWidth="1" style="32" min="8" max="8"/>
    <col width="30" customWidth="1" style="32" min="9" max="9"/>
    <col width="20" customWidth="1" style="32" min="10" max="10"/>
  </cols>
  <sheetData>
    <row r="1" ht="19.7" customHeight="1" s="33">
      <c r="A1" s="34" t="inlineStr">
        <is>
          <t>Buku Kas Publik — Dampak</t>
        </is>
      </c>
    </row>
    <row r="2" ht="15" customHeight="1" s="33">
      <c r="A2" s="35" t="inlineStr">
        <is>
          <t>Satu baris = satu capaian baru (bukan total kumulatif). Isi kolom putih.</t>
        </is>
      </c>
    </row>
    <row r="4" ht="31.5" customHeight="1" s="33">
      <c r="A4" s="40" t="inlineStr">
        <is>
          <t>No</t>
        </is>
      </c>
      <c r="B4" s="40" t="inlineStr">
        <is>
          <t>Tanggal</t>
        </is>
      </c>
      <c r="C4" s="40" t="inlineStr">
        <is>
          <t>Proyek</t>
        </is>
      </c>
      <c r="D4" s="40" t="inlineStr">
        <is>
          <t>Indikator</t>
        </is>
      </c>
      <c r="E4" s="40" t="inlineStr">
        <is>
          <t>Jumlah</t>
        </is>
      </c>
      <c r="F4" s="40" t="inlineStr">
        <is>
          <t>Satuan (otomatis)</t>
        </is>
      </c>
      <c r="G4" s="40" t="inlineStr">
        <is>
          <t>Lokasi (desa/kecamatan)</t>
        </is>
      </c>
      <c r="H4" s="40" t="inlineStr">
        <is>
          <t>Keterangan</t>
        </is>
      </c>
      <c r="I4" s="40" t="inlineStr">
        <is>
          <t>Tautan Bukti</t>
        </is>
      </c>
      <c r="J4" s="40" t="inlineStr">
        <is>
          <t>Status</t>
        </is>
      </c>
    </row>
    <row r="5" ht="15" customHeight="1" s="33">
      <c r="A5" s="51">
        <f>IF(B5="","",ROW()-4)</f>
        <v/>
      </c>
      <c r="B5" s="52" t="n">
        <v>46303</v>
      </c>
      <c r="C5" s="53" t="inlineStr">
        <is>
          <t>Lapor Lahan &amp; Riset</t>
        </is>
      </c>
      <c r="D5" s="53" t="inlineStr">
        <is>
          <t>Laporan lahan diterima</t>
        </is>
      </c>
      <c r="E5" s="61" t="n">
        <v>3</v>
      </c>
      <c r="F5" s="51">
        <f>IF(D5="","",IFERROR(INDEX(Referensi!$J$5:$J$30,MATCH(D5,Referensi!$I$5:$I$30,0)),"?"))</f>
        <v/>
      </c>
      <c r="G5" s="53" t="inlineStr">
        <is>
          <t>Kab. contoh</t>
        </is>
      </c>
      <c r="H5" s="53" t="inlineStr">
        <is>
          <t>[CONTOH] 3 laporan masuk lewat website</t>
        </is>
      </c>
      <c r="I5" s="53" t="inlineStr">
        <is>
          <t>https://drive.google.com/… (tautan foto)</t>
        </is>
      </c>
      <c r="J5" s="53" t="inlineStr">
        <is>
          <t>Terverifikasi</t>
        </is>
      </c>
    </row>
    <row r="6" ht="15" customHeight="1" s="33">
      <c r="A6" s="51">
        <f>IF(B6="","",ROW()-4)</f>
        <v/>
      </c>
      <c r="B6" s="52" t="n">
        <v>46303</v>
      </c>
      <c r="C6" s="53" t="inlineStr">
        <is>
          <t>Lapor Lahan &amp; Riset</t>
        </is>
      </c>
      <c r="D6" s="53" t="inlineStr">
        <is>
          <t>Lahan disurvei</t>
        </is>
      </c>
      <c r="E6" s="61" t="n">
        <v>1</v>
      </c>
      <c r="F6" s="51">
        <f>IF(D6="","",IFERROR(INDEX(Referensi!$J$5:$J$30,MATCH(D6,Referensi!$I$5:$I$30,0)),"?"))</f>
        <v/>
      </c>
      <c r="G6" s="53" t="inlineStr">
        <is>
          <t>Desa contoh</t>
        </is>
      </c>
      <c r="H6" s="53" t="inlineStr">
        <is>
          <t>[CONTOH] Survei laporan #001</t>
        </is>
      </c>
      <c r="I6" s="53" t="inlineStr">
        <is>
          <t>https://drive.google.com/… (tautan foto)</t>
        </is>
      </c>
      <c r="J6" s="53" t="inlineStr">
        <is>
          <t>Terverifikasi</t>
        </is>
      </c>
    </row>
    <row r="7" ht="15" customHeight="1" s="33">
      <c r="A7" s="51">
        <f>IF(B7="","",ROW()-4)</f>
        <v/>
      </c>
      <c r="B7" s="52" t="n">
        <v>46315</v>
      </c>
      <c r="C7" s="53" t="inlineStr">
        <is>
          <t>Akar Bambu</t>
        </is>
      </c>
      <c r="D7" s="53" t="inlineStr">
        <is>
          <t>Pekerja lokal terlibat (baru)</t>
        </is>
      </c>
      <c r="E7" s="61" t="n">
        <v>8</v>
      </c>
      <c r="F7" s="51">
        <f>IF(D7="","",IFERROR(INDEX(Referensi!$J$5:$J$30,MATCH(D7,Referensi!$I$5:$I$30,0)),"?"))</f>
        <v/>
      </c>
      <c r="G7" s="53" t="inlineStr">
        <is>
          <t>Desa contoh</t>
        </is>
      </c>
      <c r="H7" s="53" t="inlineStr">
        <is>
          <t>[CONTOH] Pekerja persiapan lahan</t>
        </is>
      </c>
      <c r="I7" s="53" t="inlineStr">
        <is>
          <t>https://drive.google.com/… (tautan foto)</t>
        </is>
      </c>
      <c r="J7" s="53" t="inlineStr">
        <is>
          <t>Terverifikasi</t>
        </is>
      </c>
    </row>
    <row r="8" ht="15" customHeight="1" s="33">
      <c r="A8" s="51">
        <f>IF(B8="","",ROW()-4)</f>
        <v/>
      </c>
      <c r="B8" s="52" t="n">
        <v>46315</v>
      </c>
      <c r="C8" s="53" t="inlineStr">
        <is>
          <t>Akar Bambu</t>
        </is>
      </c>
      <c r="D8" s="53" t="inlineStr">
        <is>
          <t>Hari kerja warga</t>
        </is>
      </c>
      <c r="E8" s="61" t="n">
        <v>40</v>
      </c>
      <c r="F8" s="51">
        <f>IF(D8="","",IFERROR(INDEX(Referensi!$J$5:$J$30,MATCH(D8,Referensi!$I$5:$I$30,0)),"?"))</f>
        <v/>
      </c>
      <c r="G8" s="53" t="inlineStr">
        <is>
          <t>Desa contoh</t>
        </is>
      </c>
      <c r="H8" s="53" t="inlineStr">
        <is>
          <t>[CONTOH] 8 orang × 5 hari</t>
        </is>
      </c>
      <c r="I8" s="53" t="inlineStr">
        <is>
          <t>https://drive.google.com/… (tautan foto)</t>
        </is>
      </c>
      <c r="J8" s="53" t="inlineStr">
        <is>
          <t>Terverifikasi</t>
        </is>
      </c>
    </row>
    <row r="9" ht="15" customHeight="1" s="33">
      <c r="A9" s="57">
        <f>IF(B9="","",ROW()-4)</f>
        <v/>
      </c>
      <c r="B9" s="58" t="n"/>
      <c r="C9" s="38" t="n"/>
      <c r="D9" s="38" t="n"/>
      <c r="E9" s="41" t="n"/>
      <c r="F9" s="57">
        <f>IF(D9="","",IFERROR(INDEX(Referensi!$J$5:$J$30,MATCH(D9,Referensi!$I$5:$I$30,0)),"?"))</f>
        <v/>
      </c>
      <c r="G9" s="38" t="n"/>
      <c r="H9" s="38" t="n"/>
      <c r="I9" s="38" t="n"/>
      <c r="J9" s="38" t="n"/>
    </row>
    <row r="10" ht="15" customHeight="1" s="33">
      <c r="A10" s="57">
        <f>IF(B10="","",ROW()-4)</f>
        <v/>
      </c>
      <c r="B10" s="58" t="n"/>
      <c r="C10" s="38" t="n"/>
      <c r="D10" s="38" t="n"/>
      <c r="E10" s="41" t="n"/>
      <c r="F10" s="57">
        <f>IF(D10="","",IFERROR(INDEX(Referensi!$J$5:$J$30,MATCH(D10,Referensi!$I$5:$I$30,0)),"?"))</f>
        <v/>
      </c>
      <c r="G10" s="38" t="n"/>
      <c r="H10" s="38" t="n"/>
      <c r="I10" s="38" t="n"/>
      <c r="J10" s="38" t="n"/>
    </row>
    <row r="11" ht="15" customHeight="1" s="33">
      <c r="A11" s="57">
        <f>IF(B11="","",ROW()-4)</f>
        <v/>
      </c>
      <c r="B11" s="58" t="n"/>
      <c r="C11" s="38" t="n"/>
      <c r="D11" s="38" t="n"/>
      <c r="E11" s="41" t="n"/>
      <c r="F11" s="57">
        <f>IF(D11="","",IFERROR(INDEX(Referensi!$J$5:$J$30,MATCH(D11,Referensi!$I$5:$I$30,0)),"?"))</f>
        <v/>
      </c>
      <c r="G11" s="38" t="n"/>
      <c r="H11" s="38" t="n"/>
      <c r="I11" s="38" t="n"/>
      <c r="J11" s="38" t="n"/>
    </row>
    <row r="12" ht="15" customHeight="1" s="33">
      <c r="A12" s="57">
        <f>IF(B12="","",ROW()-4)</f>
        <v/>
      </c>
      <c r="B12" s="58" t="n"/>
      <c r="C12" s="38" t="n"/>
      <c r="D12" s="38" t="n"/>
      <c r="E12" s="41" t="n"/>
      <c r="F12" s="57">
        <f>IF(D12="","",IFERROR(INDEX(Referensi!$J$5:$J$30,MATCH(D12,Referensi!$I$5:$I$30,0)),"?"))</f>
        <v/>
      </c>
      <c r="G12" s="38" t="n"/>
      <c r="H12" s="38" t="n"/>
      <c r="I12" s="38" t="n"/>
      <c r="J12" s="38" t="n"/>
    </row>
    <row r="13" ht="15" customHeight="1" s="33">
      <c r="A13" s="57">
        <f>IF(B13="","",ROW()-4)</f>
        <v/>
      </c>
      <c r="B13" s="58" t="n"/>
      <c r="C13" s="38" t="n"/>
      <c r="D13" s="38" t="n"/>
      <c r="E13" s="41" t="n"/>
      <c r="F13" s="57">
        <f>IF(D13="","",IFERROR(INDEX(Referensi!$J$5:$J$30,MATCH(D13,Referensi!$I$5:$I$30,0)),"?"))</f>
        <v/>
      </c>
      <c r="G13" s="38" t="n"/>
      <c r="H13" s="38" t="n"/>
      <c r="I13" s="38" t="n"/>
      <c r="J13" s="38" t="n"/>
    </row>
    <row r="14" ht="15" customHeight="1" s="33">
      <c r="A14" s="57">
        <f>IF(B14="","",ROW()-4)</f>
        <v/>
      </c>
      <c r="B14" s="58" t="n"/>
      <c r="C14" s="38" t="n"/>
      <c r="D14" s="38" t="n"/>
      <c r="E14" s="41" t="n"/>
      <c r="F14" s="57">
        <f>IF(D14="","",IFERROR(INDEX(Referensi!$J$5:$J$30,MATCH(D14,Referensi!$I$5:$I$30,0)),"?"))</f>
        <v/>
      </c>
      <c r="G14" s="38" t="n"/>
      <c r="H14" s="38" t="n"/>
      <c r="I14" s="38" t="n"/>
      <c r="J14" s="38" t="n"/>
    </row>
    <row r="15" ht="15" customHeight="1" s="33">
      <c r="A15" s="57">
        <f>IF(B15="","",ROW()-4)</f>
        <v/>
      </c>
      <c r="B15" s="58" t="n"/>
      <c r="C15" s="38" t="n"/>
      <c r="D15" s="38" t="n"/>
      <c r="E15" s="41" t="n"/>
      <c r="F15" s="57">
        <f>IF(D15="","",IFERROR(INDEX(Referensi!$J$5:$J$30,MATCH(D15,Referensi!$I$5:$I$30,0)),"?"))</f>
        <v/>
      </c>
      <c r="G15" s="38" t="n"/>
      <c r="H15" s="38" t="n"/>
      <c r="I15" s="38" t="n"/>
      <c r="J15" s="38" t="n"/>
    </row>
    <row r="16" ht="15" customHeight="1" s="33">
      <c r="A16" s="57">
        <f>IF(B16="","",ROW()-4)</f>
        <v/>
      </c>
      <c r="B16" s="58" t="n"/>
      <c r="C16" s="38" t="n"/>
      <c r="D16" s="38" t="n"/>
      <c r="E16" s="41" t="n"/>
      <c r="F16" s="57">
        <f>IF(D16="","",IFERROR(INDEX(Referensi!$J$5:$J$30,MATCH(D16,Referensi!$I$5:$I$30,0)),"?"))</f>
        <v/>
      </c>
      <c r="G16" s="38" t="n"/>
      <c r="H16" s="38" t="n"/>
      <c r="I16" s="38" t="n"/>
      <c r="J16" s="38" t="n"/>
    </row>
    <row r="17" ht="15" customHeight="1" s="33">
      <c r="A17" s="57">
        <f>IF(B17="","",ROW()-4)</f>
        <v/>
      </c>
      <c r="B17" s="58" t="n"/>
      <c r="C17" s="38" t="n"/>
      <c r="D17" s="38" t="n"/>
      <c r="E17" s="41" t="n"/>
      <c r="F17" s="57">
        <f>IF(D17="","",IFERROR(INDEX(Referensi!$J$5:$J$30,MATCH(D17,Referensi!$I$5:$I$30,0)),"?"))</f>
        <v/>
      </c>
      <c r="G17" s="38" t="n"/>
      <c r="H17" s="38" t="n"/>
      <c r="I17" s="38" t="n"/>
      <c r="J17" s="38" t="n"/>
    </row>
    <row r="18" ht="15" customHeight="1" s="33">
      <c r="A18" s="57">
        <f>IF(B18="","",ROW()-4)</f>
        <v/>
      </c>
      <c r="B18" s="58" t="n"/>
      <c r="C18" s="38" t="n"/>
      <c r="D18" s="38" t="n"/>
      <c r="E18" s="41" t="n"/>
      <c r="F18" s="57">
        <f>IF(D18="","",IFERROR(INDEX(Referensi!$J$5:$J$30,MATCH(D18,Referensi!$I$5:$I$30,0)),"?"))</f>
        <v/>
      </c>
      <c r="G18" s="38" t="n"/>
      <c r="H18" s="38" t="n"/>
      <c r="I18" s="38" t="n"/>
      <c r="J18" s="38" t="n"/>
    </row>
    <row r="19" ht="15" customHeight="1" s="33">
      <c r="A19" s="57">
        <f>IF(B19="","",ROW()-4)</f>
        <v/>
      </c>
      <c r="B19" s="58" t="n"/>
      <c r="C19" s="38" t="n"/>
      <c r="D19" s="38" t="n"/>
      <c r="E19" s="41" t="n"/>
      <c r="F19" s="57">
        <f>IF(D19="","",IFERROR(INDEX(Referensi!$J$5:$J$30,MATCH(D19,Referensi!$I$5:$I$30,0)),"?"))</f>
        <v/>
      </c>
      <c r="G19" s="38" t="n"/>
      <c r="H19" s="38" t="n"/>
      <c r="I19" s="38" t="n"/>
      <c r="J19" s="38" t="n"/>
    </row>
    <row r="20" ht="15" customHeight="1" s="33">
      <c r="A20" s="57">
        <f>IF(B20="","",ROW()-4)</f>
        <v/>
      </c>
      <c r="B20" s="58" t="n"/>
      <c r="C20" s="38" t="n"/>
      <c r="D20" s="38" t="n"/>
      <c r="E20" s="41" t="n"/>
      <c r="F20" s="57">
        <f>IF(D20="","",IFERROR(INDEX(Referensi!$J$5:$J$30,MATCH(D20,Referensi!$I$5:$I$30,0)),"?"))</f>
        <v/>
      </c>
      <c r="G20" s="38" t="n"/>
      <c r="H20" s="38" t="n"/>
      <c r="I20" s="38" t="n"/>
      <c r="J20" s="38" t="n"/>
    </row>
    <row r="21" ht="15" customHeight="1" s="33">
      <c r="A21" s="57">
        <f>IF(B21="","",ROW()-4)</f>
        <v/>
      </c>
      <c r="B21" s="58" t="n"/>
      <c r="C21" s="38" t="n"/>
      <c r="D21" s="38" t="n"/>
      <c r="E21" s="41" t="n"/>
      <c r="F21" s="57">
        <f>IF(D21="","",IFERROR(INDEX(Referensi!$J$5:$J$30,MATCH(D21,Referensi!$I$5:$I$30,0)),"?"))</f>
        <v/>
      </c>
      <c r="G21" s="38" t="n"/>
      <c r="H21" s="38" t="n"/>
      <c r="I21" s="38" t="n"/>
      <c r="J21" s="38" t="n"/>
    </row>
    <row r="22" ht="15" customHeight="1" s="33">
      <c r="A22" s="57">
        <f>IF(B22="","",ROW()-4)</f>
        <v/>
      </c>
      <c r="B22" s="58" t="n"/>
      <c r="C22" s="38" t="n"/>
      <c r="D22" s="38" t="n"/>
      <c r="E22" s="41" t="n"/>
      <c r="F22" s="57">
        <f>IF(D22="","",IFERROR(INDEX(Referensi!$J$5:$J$30,MATCH(D22,Referensi!$I$5:$I$30,0)),"?"))</f>
        <v/>
      </c>
      <c r="G22" s="38" t="n"/>
      <c r="H22" s="38" t="n"/>
      <c r="I22" s="38" t="n"/>
      <c r="J22" s="38" t="n"/>
    </row>
    <row r="23" ht="15" customHeight="1" s="33">
      <c r="A23" s="57">
        <f>IF(B23="","",ROW()-4)</f>
        <v/>
      </c>
      <c r="B23" s="58" t="n"/>
      <c r="C23" s="38" t="n"/>
      <c r="D23" s="38" t="n"/>
      <c r="E23" s="41" t="n"/>
      <c r="F23" s="57">
        <f>IF(D23="","",IFERROR(INDEX(Referensi!$J$5:$J$30,MATCH(D23,Referensi!$I$5:$I$30,0)),"?"))</f>
        <v/>
      </c>
      <c r="G23" s="38" t="n"/>
      <c r="H23" s="38" t="n"/>
      <c r="I23" s="38" t="n"/>
      <c r="J23" s="38" t="n"/>
    </row>
    <row r="24" ht="15" customHeight="1" s="33">
      <c r="A24" s="57">
        <f>IF(B24="","",ROW()-4)</f>
        <v/>
      </c>
      <c r="B24" s="58" t="n"/>
      <c r="C24" s="38" t="n"/>
      <c r="D24" s="38" t="n"/>
      <c r="E24" s="41" t="n"/>
      <c r="F24" s="57">
        <f>IF(D24="","",IFERROR(INDEX(Referensi!$J$5:$J$30,MATCH(D24,Referensi!$I$5:$I$30,0)),"?"))</f>
        <v/>
      </c>
      <c r="G24" s="38" t="n"/>
      <c r="H24" s="38" t="n"/>
      <c r="I24" s="38" t="n"/>
      <c r="J24" s="38" t="n"/>
    </row>
    <row r="25" ht="15" customHeight="1" s="33">
      <c r="A25" s="57">
        <f>IF(B25="","",ROW()-4)</f>
        <v/>
      </c>
      <c r="B25" s="58" t="n"/>
      <c r="C25" s="38" t="n"/>
      <c r="D25" s="38" t="n"/>
      <c r="E25" s="41" t="n"/>
      <c r="F25" s="57">
        <f>IF(D25="","",IFERROR(INDEX(Referensi!$J$5:$J$30,MATCH(D25,Referensi!$I$5:$I$30,0)),"?"))</f>
        <v/>
      </c>
      <c r="G25" s="38" t="n"/>
      <c r="H25" s="38" t="n"/>
      <c r="I25" s="38" t="n"/>
      <c r="J25" s="38" t="n"/>
    </row>
    <row r="26" ht="15" customHeight="1" s="33">
      <c r="A26" s="57">
        <f>IF(B26="","",ROW()-4)</f>
        <v/>
      </c>
      <c r="B26" s="58" t="n"/>
      <c r="C26" s="38" t="n"/>
      <c r="D26" s="38" t="n"/>
      <c r="E26" s="41" t="n"/>
      <c r="F26" s="57">
        <f>IF(D26="","",IFERROR(INDEX(Referensi!$J$5:$J$30,MATCH(D26,Referensi!$I$5:$I$30,0)),"?"))</f>
        <v/>
      </c>
      <c r="G26" s="38" t="n"/>
      <c r="H26" s="38" t="n"/>
      <c r="I26" s="38" t="n"/>
      <c r="J26" s="38" t="n"/>
    </row>
    <row r="27" ht="15" customHeight="1" s="33">
      <c r="A27" s="57">
        <f>IF(B27="","",ROW()-4)</f>
        <v/>
      </c>
      <c r="B27" s="58" t="n"/>
      <c r="C27" s="38" t="n"/>
      <c r="D27" s="38" t="n"/>
      <c r="E27" s="41" t="n"/>
      <c r="F27" s="57">
        <f>IF(D27="","",IFERROR(INDEX(Referensi!$J$5:$J$30,MATCH(D27,Referensi!$I$5:$I$30,0)),"?"))</f>
        <v/>
      </c>
      <c r="G27" s="38" t="n"/>
      <c r="H27" s="38" t="n"/>
      <c r="I27" s="38" t="n"/>
      <c r="J27" s="38" t="n"/>
    </row>
    <row r="28" ht="15" customHeight="1" s="33">
      <c r="A28" s="57">
        <f>IF(B28="","",ROW()-4)</f>
        <v/>
      </c>
      <c r="B28" s="58" t="n"/>
      <c r="C28" s="38" t="n"/>
      <c r="D28" s="38" t="n"/>
      <c r="E28" s="41" t="n"/>
      <c r="F28" s="57">
        <f>IF(D28="","",IFERROR(INDEX(Referensi!$J$5:$J$30,MATCH(D28,Referensi!$I$5:$I$30,0)),"?"))</f>
        <v/>
      </c>
      <c r="G28" s="38" t="n"/>
      <c r="H28" s="38" t="n"/>
      <c r="I28" s="38" t="n"/>
      <c r="J28" s="38" t="n"/>
    </row>
    <row r="29" ht="15" customHeight="1" s="33">
      <c r="A29" s="57">
        <f>IF(B29="","",ROW()-4)</f>
        <v/>
      </c>
      <c r="B29" s="58" t="n"/>
      <c r="C29" s="38" t="n"/>
      <c r="D29" s="38" t="n"/>
      <c r="E29" s="41" t="n"/>
      <c r="F29" s="57">
        <f>IF(D29="","",IFERROR(INDEX(Referensi!$J$5:$J$30,MATCH(D29,Referensi!$I$5:$I$30,0)),"?"))</f>
        <v/>
      </c>
      <c r="G29" s="38" t="n"/>
      <c r="H29" s="38" t="n"/>
      <c r="I29" s="38" t="n"/>
      <c r="J29" s="38" t="n"/>
    </row>
    <row r="30" ht="15" customHeight="1" s="33">
      <c r="A30" s="57">
        <f>IF(B30="","",ROW()-4)</f>
        <v/>
      </c>
      <c r="B30" s="58" t="n"/>
      <c r="C30" s="38" t="n"/>
      <c r="D30" s="38" t="n"/>
      <c r="E30" s="41" t="n"/>
      <c r="F30" s="57">
        <f>IF(D30="","",IFERROR(INDEX(Referensi!$J$5:$J$30,MATCH(D30,Referensi!$I$5:$I$30,0)),"?"))</f>
        <v/>
      </c>
      <c r="G30" s="38" t="n"/>
      <c r="H30" s="38" t="n"/>
      <c r="I30" s="38" t="n"/>
      <c r="J30" s="38" t="n"/>
    </row>
    <row r="31" ht="15" customHeight="1" s="33">
      <c r="A31" s="57">
        <f>IF(B31="","",ROW()-4)</f>
        <v/>
      </c>
      <c r="B31" s="58" t="n"/>
      <c r="C31" s="38" t="n"/>
      <c r="D31" s="38" t="n"/>
      <c r="E31" s="41" t="n"/>
      <c r="F31" s="57">
        <f>IF(D31="","",IFERROR(INDEX(Referensi!$J$5:$J$30,MATCH(D31,Referensi!$I$5:$I$30,0)),"?"))</f>
        <v/>
      </c>
      <c r="G31" s="38" t="n"/>
      <c r="H31" s="38" t="n"/>
      <c r="I31" s="38" t="n"/>
      <c r="J31" s="38" t="n"/>
    </row>
    <row r="32" ht="15" customHeight="1" s="33">
      <c r="A32" s="57">
        <f>IF(B32="","",ROW()-4)</f>
        <v/>
      </c>
      <c r="B32" s="58" t="n"/>
      <c r="C32" s="38" t="n"/>
      <c r="D32" s="38" t="n"/>
      <c r="E32" s="41" t="n"/>
      <c r="F32" s="57">
        <f>IF(D32="","",IFERROR(INDEX(Referensi!$J$5:$J$30,MATCH(D32,Referensi!$I$5:$I$30,0)),"?"))</f>
        <v/>
      </c>
      <c r="G32" s="38" t="n"/>
      <c r="H32" s="38" t="n"/>
      <c r="I32" s="38" t="n"/>
      <c r="J32" s="38" t="n"/>
    </row>
    <row r="33" ht="15" customHeight="1" s="33">
      <c r="A33" s="57">
        <f>IF(B33="","",ROW()-4)</f>
        <v/>
      </c>
      <c r="B33" s="58" t="n"/>
      <c r="C33" s="38" t="n"/>
      <c r="D33" s="38" t="n"/>
      <c r="E33" s="41" t="n"/>
      <c r="F33" s="57">
        <f>IF(D33="","",IFERROR(INDEX(Referensi!$J$5:$J$30,MATCH(D33,Referensi!$I$5:$I$30,0)),"?"))</f>
        <v/>
      </c>
      <c r="G33" s="38" t="n"/>
      <c r="H33" s="38" t="n"/>
      <c r="I33" s="38" t="n"/>
      <c r="J33" s="38" t="n"/>
    </row>
    <row r="34" ht="15" customHeight="1" s="33">
      <c r="A34" s="57">
        <f>IF(B34="","",ROW()-4)</f>
        <v/>
      </c>
      <c r="B34" s="58" t="n"/>
      <c r="C34" s="38" t="n"/>
      <c r="D34" s="38" t="n"/>
      <c r="E34" s="41" t="n"/>
      <c r="F34" s="57">
        <f>IF(D34="","",IFERROR(INDEX(Referensi!$J$5:$J$30,MATCH(D34,Referensi!$I$5:$I$30,0)),"?"))</f>
        <v/>
      </c>
      <c r="G34" s="38" t="n"/>
      <c r="H34" s="38" t="n"/>
      <c r="I34" s="38" t="n"/>
      <c r="J34" s="38" t="n"/>
    </row>
    <row r="35" ht="15" customHeight="1" s="33">
      <c r="A35" s="57">
        <f>IF(B35="","",ROW()-4)</f>
        <v/>
      </c>
      <c r="B35" s="58" t="n"/>
      <c r="C35" s="38" t="n"/>
      <c r="D35" s="38" t="n"/>
      <c r="E35" s="41" t="n"/>
      <c r="F35" s="57">
        <f>IF(D35="","",IFERROR(INDEX(Referensi!$J$5:$J$30,MATCH(D35,Referensi!$I$5:$I$30,0)),"?"))</f>
        <v/>
      </c>
      <c r="G35" s="38" t="n"/>
      <c r="H35" s="38" t="n"/>
      <c r="I35" s="38" t="n"/>
      <c r="J35" s="38" t="n"/>
    </row>
    <row r="36" ht="15" customHeight="1" s="33">
      <c r="A36" s="57">
        <f>IF(B36="","",ROW()-4)</f>
        <v/>
      </c>
      <c r="B36" s="58" t="n"/>
      <c r="C36" s="38" t="n"/>
      <c r="D36" s="38" t="n"/>
      <c r="E36" s="41" t="n"/>
      <c r="F36" s="57">
        <f>IF(D36="","",IFERROR(INDEX(Referensi!$J$5:$J$30,MATCH(D36,Referensi!$I$5:$I$30,0)),"?"))</f>
        <v/>
      </c>
      <c r="G36" s="38" t="n"/>
      <c r="H36" s="38" t="n"/>
      <c r="I36" s="38" t="n"/>
      <c r="J36" s="38" t="n"/>
    </row>
    <row r="37" ht="15" customHeight="1" s="33">
      <c r="A37" s="57">
        <f>IF(B37="","",ROW()-4)</f>
        <v/>
      </c>
      <c r="B37" s="58" t="n"/>
      <c r="C37" s="38" t="n"/>
      <c r="D37" s="38" t="n"/>
      <c r="E37" s="41" t="n"/>
      <c r="F37" s="57">
        <f>IF(D37="","",IFERROR(INDEX(Referensi!$J$5:$J$30,MATCH(D37,Referensi!$I$5:$I$30,0)),"?"))</f>
        <v/>
      </c>
      <c r="G37" s="38" t="n"/>
      <c r="H37" s="38" t="n"/>
      <c r="I37" s="38" t="n"/>
      <c r="J37" s="38" t="n"/>
    </row>
    <row r="38" ht="15" customHeight="1" s="33">
      <c r="A38" s="57">
        <f>IF(B38="","",ROW()-4)</f>
        <v/>
      </c>
      <c r="B38" s="58" t="n"/>
      <c r="C38" s="38" t="n"/>
      <c r="D38" s="38" t="n"/>
      <c r="E38" s="41" t="n"/>
      <c r="F38" s="57">
        <f>IF(D38="","",IFERROR(INDEX(Referensi!$J$5:$J$30,MATCH(D38,Referensi!$I$5:$I$30,0)),"?"))</f>
        <v/>
      </c>
      <c r="G38" s="38" t="n"/>
      <c r="H38" s="38" t="n"/>
      <c r="I38" s="38" t="n"/>
      <c r="J38" s="38" t="n"/>
    </row>
    <row r="39" ht="15" customHeight="1" s="33">
      <c r="A39" s="57">
        <f>IF(B39="","",ROW()-4)</f>
        <v/>
      </c>
      <c r="B39" s="58" t="n"/>
      <c r="C39" s="38" t="n"/>
      <c r="D39" s="38" t="n"/>
      <c r="E39" s="41" t="n"/>
      <c r="F39" s="57">
        <f>IF(D39="","",IFERROR(INDEX(Referensi!$J$5:$J$30,MATCH(D39,Referensi!$I$5:$I$30,0)),"?"))</f>
        <v/>
      </c>
      <c r="G39" s="38" t="n"/>
      <c r="H39" s="38" t="n"/>
      <c r="I39" s="38" t="n"/>
      <c r="J39" s="38" t="n"/>
    </row>
    <row r="40" ht="15" customHeight="1" s="33">
      <c r="A40" s="57">
        <f>IF(B40="","",ROW()-4)</f>
        <v/>
      </c>
      <c r="B40" s="58" t="n"/>
      <c r="C40" s="38" t="n"/>
      <c r="D40" s="38" t="n"/>
      <c r="E40" s="41" t="n"/>
      <c r="F40" s="57">
        <f>IF(D40="","",IFERROR(INDEX(Referensi!$J$5:$J$30,MATCH(D40,Referensi!$I$5:$I$30,0)),"?"))</f>
        <v/>
      </c>
      <c r="G40" s="38" t="n"/>
      <c r="H40" s="38" t="n"/>
      <c r="I40" s="38" t="n"/>
      <c r="J40" s="38" t="n"/>
    </row>
    <row r="41" ht="15" customHeight="1" s="33">
      <c r="A41" s="57">
        <f>IF(B41="","",ROW()-4)</f>
        <v/>
      </c>
      <c r="B41" s="58" t="n"/>
      <c r="C41" s="38" t="n"/>
      <c r="D41" s="38" t="n"/>
      <c r="E41" s="41" t="n"/>
      <c r="F41" s="57">
        <f>IF(D41="","",IFERROR(INDEX(Referensi!$J$5:$J$30,MATCH(D41,Referensi!$I$5:$I$30,0)),"?"))</f>
        <v/>
      </c>
      <c r="G41" s="38" t="n"/>
      <c r="H41" s="38" t="n"/>
      <c r="I41" s="38" t="n"/>
      <c r="J41" s="38" t="n"/>
    </row>
    <row r="42" ht="15" customHeight="1" s="33">
      <c r="A42" s="57">
        <f>IF(B42="","",ROW()-4)</f>
        <v/>
      </c>
      <c r="B42" s="58" t="n"/>
      <c r="C42" s="38" t="n"/>
      <c r="D42" s="38" t="n"/>
      <c r="E42" s="41" t="n"/>
      <c r="F42" s="57">
        <f>IF(D42="","",IFERROR(INDEX(Referensi!$J$5:$J$30,MATCH(D42,Referensi!$I$5:$I$30,0)),"?"))</f>
        <v/>
      </c>
      <c r="G42" s="38" t="n"/>
      <c r="H42" s="38" t="n"/>
      <c r="I42" s="38" t="n"/>
      <c r="J42" s="38" t="n"/>
    </row>
    <row r="43" ht="15" customHeight="1" s="33">
      <c r="A43" s="57">
        <f>IF(B43="","",ROW()-4)</f>
        <v/>
      </c>
      <c r="B43" s="58" t="n"/>
      <c r="C43" s="38" t="n"/>
      <c r="D43" s="38" t="n"/>
      <c r="E43" s="41" t="n"/>
      <c r="F43" s="57">
        <f>IF(D43="","",IFERROR(INDEX(Referensi!$J$5:$J$30,MATCH(D43,Referensi!$I$5:$I$30,0)),"?"))</f>
        <v/>
      </c>
      <c r="G43" s="38" t="n"/>
      <c r="H43" s="38" t="n"/>
      <c r="I43" s="38" t="n"/>
      <c r="J43" s="38" t="n"/>
    </row>
    <row r="44" ht="15" customHeight="1" s="33">
      <c r="A44" s="57">
        <f>IF(B44="","",ROW()-4)</f>
        <v/>
      </c>
      <c r="B44" s="58" t="n"/>
      <c r="C44" s="38" t="n"/>
      <c r="D44" s="38" t="n"/>
      <c r="E44" s="41" t="n"/>
      <c r="F44" s="57">
        <f>IF(D44="","",IFERROR(INDEX(Referensi!$J$5:$J$30,MATCH(D44,Referensi!$I$5:$I$30,0)),"?"))</f>
        <v/>
      </c>
      <c r="G44" s="38" t="n"/>
      <c r="H44" s="38" t="n"/>
      <c r="I44" s="38" t="n"/>
      <c r="J44" s="38" t="n"/>
    </row>
    <row r="45" ht="15" customHeight="1" s="33">
      <c r="A45" s="57">
        <f>IF(B45="","",ROW()-4)</f>
        <v/>
      </c>
      <c r="B45" s="58" t="n"/>
      <c r="C45" s="38" t="n"/>
      <c r="D45" s="38" t="n"/>
      <c r="E45" s="41" t="n"/>
      <c r="F45" s="57">
        <f>IF(D45="","",IFERROR(INDEX(Referensi!$J$5:$J$30,MATCH(D45,Referensi!$I$5:$I$30,0)),"?"))</f>
        <v/>
      </c>
      <c r="G45" s="38" t="n"/>
      <c r="H45" s="38" t="n"/>
      <c r="I45" s="38" t="n"/>
      <c r="J45" s="38" t="n"/>
    </row>
    <row r="46" ht="15" customHeight="1" s="33">
      <c r="A46" s="57">
        <f>IF(B46="","",ROW()-4)</f>
        <v/>
      </c>
      <c r="B46" s="58" t="n"/>
      <c r="C46" s="38" t="n"/>
      <c r="D46" s="38" t="n"/>
      <c r="E46" s="41" t="n"/>
      <c r="F46" s="57">
        <f>IF(D46="","",IFERROR(INDEX(Referensi!$J$5:$J$30,MATCH(D46,Referensi!$I$5:$I$30,0)),"?"))</f>
        <v/>
      </c>
      <c r="G46" s="38" t="n"/>
      <c r="H46" s="38" t="n"/>
      <c r="I46" s="38" t="n"/>
      <c r="J46" s="38" t="n"/>
    </row>
    <row r="47" ht="15" customHeight="1" s="33">
      <c r="A47" s="57">
        <f>IF(B47="","",ROW()-4)</f>
        <v/>
      </c>
      <c r="B47" s="58" t="n"/>
      <c r="C47" s="38" t="n"/>
      <c r="D47" s="38" t="n"/>
      <c r="E47" s="41" t="n"/>
      <c r="F47" s="57">
        <f>IF(D47="","",IFERROR(INDEX(Referensi!$J$5:$J$30,MATCH(D47,Referensi!$I$5:$I$30,0)),"?"))</f>
        <v/>
      </c>
      <c r="G47" s="38" t="n"/>
      <c r="H47" s="38" t="n"/>
      <c r="I47" s="38" t="n"/>
      <c r="J47" s="38" t="n"/>
    </row>
    <row r="48" ht="15" customHeight="1" s="33">
      <c r="A48" s="57">
        <f>IF(B48="","",ROW()-4)</f>
        <v/>
      </c>
      <c r="B48" s="58" t="n"/>
      <c r="C48" s="38" t="n"/>
      <c r="D48" s="38" t="n"/>
      <c r="E48" s="41" t="n"/>
      <c r="F48" s="57">
        <f>IF(D48="","",IFERROR(INDEX(Referensi!$J$5:$J$30,MATCH(D48,Referensi!$I$5:$I$30,0)),"?"))</f>
        <v/>
      </c>
      <c r="G48" s="38" t="n"/>
      <c r="H48" s="38" t="n"/>
      <c r="I48" s="38" t="n"/>
      <c r="J48" s="38" t="n"/>
    </row>
    <row r="49" ht="15" customHeight="1" s="33">
      <c r="A49" s="57">
        <f>IF(B49="","",ROW()-4)</f>
        <v/>
      </c>
      <c r="B49" s="58" t="n"/>
      <c r="C49" s="38" t="n"/>
      <c r="D49" s="38" t="n"/>
      <c r="E49" s="41" t="n"/>
      <c r="F49" s="57">
        <f>IF(D49="","",IFERROR(INDEX(Referensi!$J$5:$J$30,MATCH(D49,Referensi!$I$5:$I$30,0)),"?"))</f>
        <v/>
      </c>
      <c r="G49" s="38" t="n"/>
      <c r="H49" s="38" t="n"/>
      <c r="I49" s="38" t="n"/>
      <c r="J49" s="38" t="n"/>
    </row>
    <row r="50" ht="15" customHeight="1" s="33">
      <c r="A50" s="57">
        <f>IF(B50="","",ROW()-4)</f>
        <v/>
      </c>
      <c r="B50" s="58" t="n"/>
      <c r="C50" s="38" t="n"/>
      <c r="D50" s="38" t="n"/>
      <c r="E50" s="41" t="n"/>
      <c r="F50" s="57">
        <f>IF(D50="","",IFERROR(INDEX(Referensi!$J$5:$J$30,MATCH(D50,Referensi!$I$5:$I$30,0)),"?"))</f>
        <v/>
      </c>
      <c r="G50" s="38" t="n"/>
      <c r="H50" s="38" t="n"/>
      <c r="I50" s="38" t="n"/>
      <c r="J50" s="38" t="n"/>
    </row>
    <row r="51" ht="15" customHeight="1" s="33">
      <c r="A51" s="57">
        <f>IF(B51="","",ROW()-4)</f>
        <v/>
      </c>
      <c r="B51" s="58" t="n"/>
      <c r="C51" s="38" t="n"/>
      <c r="D51" s="38" t="n"/>
      <c r="E51" s="41" t="n"/>
      <c r="F51" s="57">
        <f>IF(D51="","",IFERROR(INDEX(Referensi!$J$5:$J$30,MATCH(D51,Referensi!$I$5:$I$30,0)),"?"))</f>
        <v/>
      </c>
      <c r="G51" s="38" t="n"/>
      <c r="H51" s="38" t="n"/>
      <c r="I51" s="38" t="n"/>
      <c r="J51" s="38" t="n"/>
    </row>
    <row r="52" ht="15" customHeight="1" s="33">
      <c r="A52" s="57">
        <f>IF(B52="","",ROW()-4)</f>
        <v/>
      </c>
      <c r="B52" s="58" t="n"/>
      <c r="C52" s="38" t="n"/>
      <c r="D52" s="38" t="n"/>
      <c r="E52" s="41" t="n"/>
      <c r="F52" s="57">
        <f>IF(D52="","",IFERROR(INDEX(Referensi!$J$5:$J$30,MATCH(D52,Referensi!$I$5:$I$30,0)),"?"))</f>
        <v/>
      </c>
      <c r="G52" s="38" t="n"/>
      <c r="H52" s="38" t="n"/>
      <c r="I52" s="38" t="n"/>
      <c r="J52" s="38" t="n"/>
    </row>
    <row r="53" ht="15" customHeight="1" s="33">
      <c r="A53" s="57">
        <f>IF(B53="","",ROW()-4)</f>
        <v/>
      </c>
      <c r="B53" s="58" t="n"/>
      <c r="C53" s="38" t="n"/>
      <c r="D53" s="38" t="n"/>
      <c r="E53" s="41" t="n"/>
      <c r="F53" s="57">
        <f>IF(D53="","",IFERROR(INDEX(Referensi!$J$5:$J$30,MATCH(D53,Referensi!$I$5:$I$30,0)),"?"))</f>
        <v/>
      </c>
      <c r="G53" s="38" t="n"/>
      <c r="H53" s="38" t="n"/>
      <c r="I53" s="38" t="n"/>
      <c r="J53" s="38" t="n"/>
    </row>
    <row r="54" ht="15" customHeight="1" s="33">
      <c r="A54" s="57">
        <f>IF(B54="","",ROW()-4)</f>
        <v/>
      </c>
      <c r="B54" s="58" t="n"/>
      <c r="C54" s="38" t="n"/>
      <c r="D54" s="38" t="n"/>
      <c r="E54" s="41" t="n"/>
      <c r="F54" s="57">
        <f>IF(D54="","",IFERROR(INDEX(Referensi!$J$5:$J$30,MATCH(D54,Referensi!$I$5:$I$30,0)),"?"))</f>
        <v/>
      </c>
      <c r="G54" s="38" t="n"/>
      <c r="H54" s="38" t="n"/>
      <c r="I54" s="38" t="n"/>
      <c r="J54" s="38" t="n"/>
    </row>
    <row r="55" ht="15" customHeight="1" s="33">
      <c r="A55" s="57">
        <f>IF(B55="","",ROW()-4)</f>
        <v/>
      </c>
      <c r="B55" s="58" t="n"/>
      <c r="C55" s="38" t="n"/>
      <c r="D55" s="38" t="n"/>
      <c r="E55" s="41" t="n"/>
      <c r="F55" s="57">
        <f>IF(D55="","",IFERROR(INDEX(Referensi!$J$5:$J$30,MATCH(D55,Referensi!$I$5:$I$30,0)),"?"))</f>
        <v/>
      </c>
      <c r="G55" s="38" t="n"/>
      <c r="H55" s="38" t="n"/>
      <c r="I55" s="38" t="n"/>
      <c r="J55" s="38" t="n"/>
    </row>
    <row r="56" ht="15" customHeight="1" s="33">
      <c r="A56" s="57">
        <f>IF(B56="","",ROW()-4)</f>
        <v/>
      </c>
      <c r="B56" s="58" t="n"/>
      <c r="C56" s="38" t="n"/>
      <c r="D56" s="38" t="n"/>
      <c r="E56" s="41" t="n"/>
      <c r="F56" s="57">
        <f>IF(D56="","",IFERROR(INDEX(Referensi!$J$5:$J$30,MATCH(D56,Referensi!$I$5:$I$30,0)),"?"))</f>
        <v/>
      </c>
      <c r="G56" s="38" t="n"/>
      <c r="H56" s="38" t="n"/>
      <c r="I56" s="38" t="n"/>
      <c r="J56" s="38" t="n"/>
    </row>
    <row r="57" ht="15" customHeight="1" s="33">
      <c r="A57" s="57">
        <f>IF(B57="","",ROW()-4)</f>
        <v/>
      </c>
      <c r="B57" s="58" t="n"/>
      <c r="C57" s="38" t="n"/>
      <c r="D57" s="38" t="n"/>
      <c r="E57" s="41" t="n"/>
      <c r="F57" s="57">
        <f>IF(D57="","",IFERROR(INDEX(Referensi!$J$5:$J$30,MATCH(D57,Referensi!$I$5:$I$30,0)),"?"))</f>
        <v/>
      </c>
      <c r="G57" s="38" t="n"/>
      <c r="H57" s="38" t="n"/>
      <c r="I57" s="38" t="n"/>
      <c r="J57" s="38" t="n"/>
    </row>
    <row r="58" ht="15" customHeight="1" s="33">
      <c r="A58" s="57">
        <f>IF(B58="","",ROW()-4)</f>
        <v/>
      </c>
      <c r="B58" s="58" t="n"/>
      <c r="C58" s="38" t="n"/>
      <c r="D58" s="38" t="n"/>
      <c r="E58" s="41" t="n"/>
      <c r="F58" s="57">
        <f>IF(D58="","",IFERROR(INDEX(Referensi!$J$5:$J$30,MATCH(D58,Referensi!$I$5:$I$30,0)),"?"))</f>
        <v/>
      </c>
      <c r="G58" s="38" t="n"/>
      <c r="H58" s="38" t="n"/>
      <c r="I58" s="38" t="n"/>
      <c r="J58" s="38" t="n"/>
    </row>
    <row r="59" ht="15" customHeight="1" s="33">
      <c r="A59" s="57">
        <f>IF(B59="","",ROW()-4)</f>
        <v/>
      </c>
      <c r="B59" s="58" t="n"/>
      <c r="C59" s="38" t="n"/>
      <c r="D59" s="38" t="n"/>
      <c r="E59" s="41" t="n"/>
      <c r="F59" s="57">
        <f>IF(D59="","",IFERROR(INDEX(Referensi!$J$5:$J$30,MATCH(D59,Referensi!$I$5:$I$30,0)),"?"))</f>
        <v/>
      </c>
      <c r="G59" s="38" t="n"/>
      <c r="H59" s="38" t="n"/>
      <c r="I59" s="38" t="n"/>
      <c r="J59" s="38" t="n"/>
    </row>
    <row r="60" ht="15" customHeight="1" s="33">
      <c r="A60" s="57">
        <f>IF(B60="","",ROW()-4)</f>
        <v/>
      </c>
      <c r="B60" s="58" t="n"/>
      <c r="C60" s="38" t="n"/>
      <c r="D60" s="38" t="n"/>
      <c r="E60" s="41" t="n"/>
      <c r="F60" s="57">
        <f>IF(D60="","",IFERROR(INDEX(Referensi!$J$5:$J$30,MATCH(D60,Referensi!$I$5:$I$30,0)),"?"))</f>
        <v/>
      </c>
      <c r="G60" s="38" t="n"/>
      <c r="H60" s="38" t="n"/>
      <c r="I60" s="38" t="n"/>
      <c r="J60" s="38" t="n"/>
    </row>
    <row r="61" ht="15" customHeight="1" s="33">
      <c r="A61" s="57">
        <f>IF(B61="","",ROW()-4)</f>
        <v/>
      </c>
      <c r="B61" s="58" t="n"/>
      <c r="C61" s="38" t="n"/>
      <c r="D61" s="38" t="n"/>
      <c r="E61" s="41" t="n"/>
      <c r="F61" s="57">
        <f>IF(D61="","",IFERROR(INDEX(Referensi!$J$5:$J$30,MATCH(D61,Referensi!$I$5:$I$30,0)),"?"))</f>
        <v/>
      </c>
      <c r="G61" s="38" t="n"/>
      <c r="H61" s="38" t="n"/>
      <c r="I61" s="38" t="n"/>
      <c r="J61" s="38" t="n"/>
    </row>
    <row r="62" ht="15" customHeight="1" s="33">
      <c r="A62" s="57">
        <f>IF(B62="","",ROW()-4)</f>
        <v/>
      </c>
      <c r="B62" s="58" t="n"/>
      <c r="C62" s="38" t="n"/>
      <c r="D62" s="38" t="n"/>
      <c r="E62" s="41" t="n"/>
      <c r="F62" s="57">
        <f>IF(D62="","",IFERROR(INDEX(Referensi!$J$5:$J$30,MATCH(D62,Referensi!$I$5:$I$30,0)),"?"))</f>
        <v/>
      </c>
      <c r="G62" s="38" t="n"/>
      <c r="H62" s="38" t="n"/>
      <c r="I62" s="38" t="n"/>
      <c r="J62" s="38" t="n"/>
    </row>
    <row r="63" ht="15" customHeight="1" s="33">
      <c r="A63" s="57">
        <f>IF(B63="","",ROW()-4)</f>
        <v/>
      </c>
      <c r="B63" s="58" t="n"/>
      <c r="C63" s="38" t="n"/>
      <c r="D63" s="38" t="n"/>
      <c r="E63" s="41" t="n"/>
      <c r="F63" s="57">
        <f>IF(D63="","",IFERROR(INDEX(Referensi!$J$5:$J$30,MATCH(D63,Referensi!$I$5:$I$30,0)),"?"))</f>
        <v/>
      </c>
      <c r="G63" s="38" t="n"/>
      <c r="H63" s="38" t="n"/>
      <c r="I63" s="38" t="n"/>
      <c r="J63" s="38" t="n"/>
    </row>
    <row r="64" ht="15" customHeight="1" s="33">
      <c r="A64" s="57">
        <f>IF(B64="","",ROW()-4)</f>
        <v/>
      </c>
      <c r="B64" s="58" t="n"/>
      <c r="C64" s="38" t="n"/>
      <c r="D64" s="38" t="n"/>
      <c r="E64" s="41" t="n"/>
      <c r="F64" s="57">
        <f>IF(D64="","",IFERROR(INDEX(Referensi!$J$5:$J$30,MATCH(D64,Referensi!$I$5:$I$30,0)),"?"))</f>
        <v/>
      </c>
      <c r="G64" s="38" t="n"/>
      <c r="H64" s="38" t="n"/>
      <c r="I64" s="38" t="n"/>
      <c r="J64" s="38" t="n"/>
    </row>
    <row r="65" ht="15" customHeight="1" s="33">
      <c r="A65" s="57">
        <f>IF(B65="","",ROW()-4)</f>
        <v/>
      </c>
      <c r="B65" s="58" t="n"/>
      <c r="C65" s="38" t="n"/>
      <c r="D65" s="38" t="n"/>
      <c r="E65" s="41" t="n"/>
      <c r="F65" s="57">
        <f>IF(D65="","",IFERROR(INDEX(Referensi!$J$5:$J$30,MATCH(D65,Referensi!$I$5:$I$30,0)),"?"))</f>
        <v/>
      </c>
      <c r="G65" s="38" t="n"/>
      <c r="H65" s="38" t="n"/>
      <c r="I65" s="38" t="n"/>
      <c r="J65" s="38" t="n"/>
    </row>
    <row r="66" ht="15" customHeight="1" s="33">
      <c r="A66" s="57">
        <f>IF(B66="","",ROW()-4)</f>
        <v/>
      </c>
      <c r="B66" s="58" t="n"/>
      <c r="C66" s="38" t="n"/>
      <c r="D66" s="38" t="n"/>
      <c r="E66" s="41" t="n"/>
      <c r="F66" s="57">
        <f>IF(D66="","",IFERROR(INDEX(Referensi!$J$5:$J$30,MATCH(D66,Referensi!$I$5:$I$30,0)),"?"))</f>
        <v/>
      </c>
      <c r="G66" s="38" t="n"/>
      <c r="H66" s="38" t="n"/>
      <c r="I66" s="38" t="n"/>
      <c r="J66" s="38" t="n"/>
    </row>
    <row r="67" ht="15" customHeight="1" s="33">
      <c r="A67" s="57">
        <f>IF(B67="","",ROW()-4)</f>
        <v/>
      </c>
      <c r="B67" s="58" t="n"/>
      <c r="C67" s="38" t="n"/>
      <c r="D67" s="38" t="n"/>
      <c r="E67" s="41" t="n"/>
      <c r="F67" s="57">
        <f>IF(D67="","",IFERROR(INDEX(Referensi!$J$5:$J$30,MATCH(D67,Referensi!$I$5:$I$30,0)),"?"))</f>
        <v/>
      </c>
      <c r="G67" s="38" t="n"/>
      <c r="H67" s="38" t="n"/>
      <c r="I67" s="38" t="n"/>
      <c r="J67" s="38" t="n"/>
    </row>
    <row r="68" ht="15" customHeight="1" s="33">
      <c r="A68" s="57">
        <f>IF(B68="","",ROW()-4)</f>
        <v/>
      </c>
      <c r="B68" s="58" t="n"/>
      <c r="C68" s="38" t="n"/>
      <c r="D68" s="38" t="n"/>
      <c r="E68" s="41" t="n"/>
      <c r="F68" s="57">
        <f>IF(D68="","",IFERROR(INDEX(Referensi!$J$5:$J$30,MATCH(D68,Referensi!$I$5:$I$30,0)),"?"))</f>
        <v/>
      </c>
      <c r="G68" s="38" t="n"/>
      <c r="H68" s="38" t="n"/>
      <c r="I68" s="38" t="n"/>
      <c r="J68" s="38" t="n"/>
    </row>
    <row r="69" ht="15" customHeight="1" s="33">
      <c r="A69" s="57">
        <f>IF(B69="","",ROW()-4)</f>
        <v/>
      </c>
      <c r="B69" s="58" t="n"/>
      <c r="C69" s="38" t="n"/>
      <c r="D69" s="38" t="n"/>
      <c r="E69" s="41" t="n"/>
      <c r="F69" s="57">
        <f>IF(D69="","",IFERROR(INDEX(Referensi!$J$5:$J$30,MATCH(D69,Referensi!$I$5:$I$30,0)),"?"))</f>
        <v/>
      </c>
      <c r="G69" s="38" t="n"/>
      <c r="H69" s="38" t="n"/>
      <c r="I69" s="38" t="n"/>
      <c r="J69" s="38" t="n"/>
    </row>
    <row r="70" ht="15" customHeight="1" s="33">
      <c r="A70" s="57">
        <f>IF(B70="","",ROW()-4)</f>
        <v/>
      </c>
      <c r="B70" s="58" t="n"/>
      <c r="C70" s="38" t="n"/>
      <c r="D70" s="38" t="n"/>
      <c r="E70" s="41" t="n"/>
      <c r="F70" s="57">
        <f>IF(D70="","",IFERROR(INDEX(Referensi!$J$5:$J$30,MATCH(D70,Referensi!$I$5:$I$30,0)),"?"))</f>
        <v/>
      </c>
      <c r="G70" s="38" t="n"/>
      <c r="H70" s="38" t="n"/>
      <c r="I70" s="38" t="n"/>
      <c r="J70" s="38" t="n"/>
    </row>
    <row r="71" ht="15" customHeight="1" s="33">
      <c r="A71" s="57">
        <f>IF(B71="","",ROW()-4)</f>
        <v/>
      </c>
      <c r="B71" s="58" t="n"/>
      <c r="C71" s="38" t="n"/>
      <c r="D71" s="38" t="n"/>
      <c r="E71" s="41" t="n"/>
      <c r="F71" s="57">
        <f>IF(D71="","",IFERROR(INDEX(Referensi!$J$5:$J$30,MATCH(D71,Referensi!$I$5:$I$30,0)),"?"))</f>
        <v/>
      </c>
      <c r="G71" s="38" t="n"/>
      <c r="H71" s="38" t="n"/>
      <c r="I71" s="38" t="n"/>
      <c r="J71" s="38" t="n"/>
    </row>
    <row r="72" ht="15" customHeight="1" s="33">
      <c r="A72" s="57">
        <f>IF(B72="","",ROW()-4)</f>
        <v/>
      </c>
      <c r="B72" s="58" t="n"/>
      <c r="C72" s="38" t="n"/>
      <c r="D72" s="38" t="n"/>
      <c r="E72" s="41" t="n"/>
      <c r="F72" s="57">
        <f>IF(D72="","",IFERROR(INDEX(Referensi!$J$5:$J$30,MATCH(D72,Referensi!$I$5:$I$30,0)),"?"))</f>
        <v/>
      </c>
      <c r="G72" s="38" t="n"/>
      <c r="H72" s="38" t="n"/>
      <c r="I72" s="38" t="n"/>
      <c r="J72" s="38" t="n"/>
    </row>
    <row r="73" ht="15" customHeight="1" s="33">
      <c r="A73" s="57">
        <f>IF(B73="","",ROW()-4)</f>
        <v/>
      </c>
      <c r="B73" s="58" t="n"/>
      <c r="C73" s="38" t="n"/>
      <c r="D73" s="38" t="n"/>
      <c r="E73" s="41" t="n"/>
      <c r="F73" s="57">
        <f>IF(D73="","",IFERROR(INDEX(Referensi!$J$5:$J$30,MATCH(D73,Referensi!$I$5:$I$30,0)),"?"))</f>
        <v/>
      </c>
      <c r="G73" s="38" t="n"/>
      <c r="H73" s="38" t="n"/>
      <c r="I73" s="38" t="n"/>
      <c r="J73" s="38" t="n"/>
    </row>
    <row r="74" ht="15" customHeight="1" s="33">
      <c r="A74" s="57">
        <f>IF(B74="","",ROW()-4)</f>
        <v/>
      </c>
      <c r="B74" s="58" t="n"/>
      <c r="C74" s="38" t="n"/>
      <c r="D74" s="38" t="n"/>
      <c r="E74" s="41" t="n"/>
      <c r="F74" s="57">
        <f>IF(D74="","",IFERROR(INDEX(Referensi!$J$5:$J$30,MATCH(D74,Referensi!$I$5:$I$30,0)),"?"))</f>
        <v/>
      </c>
      <c r="G74" s="38" t="n"/>
      <c r="H74" s="38" t="n"/>
      <c r="I74" s="38" t="n"/>
      <c r="J74" s="38" t="n"/>
    </row>
    <row r="75" ht="15" customHeight="1" s="33">
      <c r="A75" s="57">
        <f>IF(B75="","",ROW()-4)</f>
        <v/>
      </c>
      <c r="B75" s="58" t="n"/>
      <c r="C75" s="38" t="n"/>
      <c r="D75" s="38" t="n"/>
      <c r="E75" s="41" t="n"/>
      <c r="F75" s="57">
        <f>IF(D75="","",IFERROR(INDEX(Referensi!$J$5:$J$30,MATCH(D75,Referensi!$I$5:$I$30,0)),"?"))</f>
        <v/>
      </c>
      <c r="G75" s="38" t="n"/>
      <c r="H75" s="38" t="n"/>
      <c r="I75" s="38" t="n"/>
      <c r="J75" s="38" t="n"/>
    </row>
    <row r="76" ht="15" customHeight="1" s="33">
      <c r="A76" s="57">
        <f>IF(B76="","",ROW()-4)</f>
        <v/>
      </c>
      <c r="B76" s="58" t="n"/>
      <c r="C76" s="38" t="n"/>
      <c r="D76" s="38" t="n"/>
      <c r="E76" s="41" t="n"/>
      <c r="F76" s="57">
        <f>IF(D76="","",IFERROR(INDEX(Referensi!$J$5:$J$30,MATCH(D76,Referensi!$I$5:$I$30,0)),"?"))</f>
        <v/>
      </c>
      <c r="G76" s="38" t="n"/>
      <c r="H76" s="38" t="n"/>
      <c r="I76" s="38" t="n"/>
      <c r="J76" s="38" t="n"/>
    </row>
    <row r="77" ht="15" customHeight="1" s="33">
      <c r="A77" s="57">
        <f>IF(B77="","",ROW()-4)</f>
        <v/>
      </c>
      <c r="B77" s="58" t="n"/>
      <c r="C77" s="38" t="n"/>
      <c r="D77" s="38" t="n"/>
      <c r="E77" s="41" t="n"/>
      <c r="F77" s="57">
        <f>IF(D77="","",IFERROR(INDEX(Referensi!$J$5:$J$30,MATCH(D77,Referensi!$I$5:$I$30,0)),"?"))</f>
        <v/>
      </c>
      <c r="G77" s="38" t="n"/>
      <c r="H77" s="38" t="n"/>
      <c r="I77" s="38" t="n"/>
      <c r="J77" s="38" t="n"/>
    </row>
    <row r="78" ht="15" customHeight="1" s="33">
      <c r="A78" s="57">
        <f>IF(B78="","",ROW()-4)</f>
        <v/>
      </c>
      <c r="B78" s="58" t="n"/>
      <c r="C78" s="38" t="n"/>
      <c r="D78" s="38" t="n"/>
      <c r="E78" s="41" t="n"/>
      <c r="F78" s="57">
        <f>IF(D78="","",IFERROR(INDEX(Referensi!$J$5:$J$30,MATCH(D78,Referensi!$I$5:$I$30,0)),"?"))</f>
        <v/>
      </c>
      <c r="G78" s="38" t="n"/>
      <c r="H78" s="38" t="n"/>
      <c r="I78" s="38" t="n"/>
      <c r="J78" s="38" t="n"/>
    </row>
    <row r="79" ht="15" customHeight="1" s="33">
      <c r="A79" s="57">
        <f>IF(B79="","",ROW()-4)</f>
        <v/>
      </c>
      <c r="B79" s="58" t="n"/>
      <c r="C79" s="38" t="n"/>
      <c r="D79" s="38" t="n"/>
      <c r="E79" s="41" t="n"/>
      <c r="F79" s="57">
        <f>IF(D79="","",IFERROR(INDEX(Referensi!$J$5:$J$30,MATCH(D79,Referensi!$I$5:$I$30,0)),"?"))</f>
        <v/>
      </c>
      <c r="G79" s="38" t="n"/>
      <c r="H79" s="38" t="n"/>
      <c r="I79" s="38" t="n"/>
      <c r="J79" s="38" t="n"/>
    </row>
    <row r="80" ht="15" customHeight="1" s="33">
      <c r="A80" s="57">
        <f>IF(B80="","",ROW()-4)</f>
        <v/>
      </c>
      <c r="B80" s="58" t="n"/>
      <c r="C80" s="38" t="n"/>
      <c r="D80" s="38" t="n"/>
      <c r="E80" s="41" t="n"/>
      <c r="F80" s="57">
        <f>IF(D80="","",IFERROR(INDEX(Referensi!$J$5:$J$30,MATCH(D80,Referensi!$I$5:$I$30,0)),"?"))</f>
        <v/>
      </c>
      <c r="G80" s="38" t="n"/>
      <c r="H80" s="38" t="n"/>
      <c r="I80" s="38" t="n"/>
      <c r="J80" s="38" t="n"/>
    </row>
    <row r="81" ht="15" customHeight="1" s="33">
      <c r="A81" s="57">
        <f>IF(B81="","",ROW()-4)</f>
        <v/>
      </c>
      <c r="B81" s="58" t="n"/>
      <c r="C81" s="38" t="n"/>
      <c r="D81" s="38" t="n"/>
      <c r="E81" s="41" t="n"/>
      <c r="F81" s="57">
        <f>IF(D81="","",IFERROR(INDEX(Referensi!$J$5:$J$30,MATCH(D81,Referensi!$I$5:$I$30,0)),"?"))</f>
        <v/>
      </c>
      <c r="G81" s="38" t="n"/>
      <c r="H81" s="38" t="n"/>
      <c r="I81" s="38" t="n"/>
      <c r="J81" s="38" t="n"/>
    </row>
    <row r="82" ht="15" customHeight="1" s="33">
      <c r="A82" s="57">
        <f>IF(B82="","",ROW()-4)</f>
        <v/>
      </c>
      <c r="B82" s="58" t="n"/>
      <c r="C82" s="38" t="n"/>
      <c r="D82" s="38" t="n"/>
      <c r="E82" s="41" t="n"/>
      <c r="F82" s="57">
        <f>IF(D82="","",IFERROR(INDEX(Referensi!$J$5:$J$30,MATCH(D82,Referensi!$I$5:$I$30,0)),"?"))</f>
        <v/>
      </c>
      <c r="G82" s="38" t="n"/>
      <c r="H82" s="38" t="n"/>
      <c r="I82" s="38" t="n"/>
      <c r="J82" s="38" t="n"/>
    </row>
    <row r="83" ht="15" customHeight="1" s="33">
      <c r="A83" s="57">
        <f>IF(B83="","",ROW()-4)</f>
        <v/>
      </c>
      <c r="B83" s="58" t="n"/>
      <c r="C83" s="38" t="n"/>
      <c r="D83" s="38" t="n"/>
      <c r="E83" s="41" t="n"/>
      <c r="F83" s="57">
        <f>IF(D83="","",IFERROR(INDEX(Referensi!$J$5:$J$30,MATCH(D83,Referensi!$I$5:$I$30,0)),"?"))</f>
        <v/>
      </c>
      <c r="G83" s="38" t="n"/>
      <c r="H83" s="38" t="n"/>
      <c r="I83" s="38" t="n"/>
      <c r="J83" s="38" t="n"/>
    </row>
    <row r="84" ht="15" customHeight="1" s="33">
      <c r="A84" s="57">
        <f>IF(B84="","",ROW()-4)</f>
        <v/>
      </c>
      <c r="B84" s="58" t="n"/>
      <c r="C84" s="38" t="n"/>
      <c r="D84" s="38" t="n"/>
      <c r="E84" s="41" t="n"/>
      <c r="F84" s="57">
        <f>IF(D84="","",IFERROR(INDEX(Referensi!$J$5:$J$30,MATCH(D84,Referensi!$I$5:$I$30,0)),"?"))</f>
        <v/>
      </c>
      <c r="G84" s="38" t="n"/>
      <c r="H84" s="38" t="n"/>
      <c r="I84" s="38" t="n"/>
      <c r="J84" s="38" t="n"/>
    </row>
    <row r="85" ht="15" customHeight="1" s="33">
      <c r="A85" s="57">
        <f>IF(B85="","",ROW()-4)</f>
        <v/>
      </c>
      <c r="B85" s="58" t="n"/>
      <c r="C85" s="38" t="n"/>
      <c r="D85" s="38" t="n"/>
      <c r="E85" s="41" t="n"/>
      <c r="F85" s="57">
        <f>IF(D85="","",IFERROR(INDEX(Referensi!$J$5:$J$30,MATCH(D85,Referensi!$I$5:$I$30,0)),"?"))</f>
        <v/>
      </c>
      <c r="G85" s="38" t="n"/>
      <c r="H85" s="38" t="n"/>
      <c r="I85" s="38" t="n"/>
      <c r="J85" s="38" t="n"/>
    </row>
    <row r="86" ht="15" customHeight="1" s="33">
      <c r="A86" s="57">
        <f>IF(B86="","",ROW()-4)</f>
        <v/>
      </c>
      <c r="B86" s="58" t="n"/>
      <c r="C86" s="38" t="n"/>
      <c r="D86" s="38" t="n"/>
      <c r="E86" s="41" t="n"/>
      <c r="F86" s="57">
        <f>IF(D86="","",IFERROR(INDEX(Referensi!$J$5:$J$30,MATCH(D86,Referensi!$I$5:$I$30,0)),"?"))</f>
        <v/>
      </c>
      <c r="G86" s="38" t="n"/>
      <c r="H86" s="38" t="n"/>
      <c r="I86" s="38" t="n"/>
      <c r="J86" s="38" t="n"/>
    </row>
    <row r="87" ht="15" customHeight="1" s="33">
      <c r="A87" s="57">
        <f>IF(B87="","",ROW()-4)</f>
        <v/>
      </c>
      <c r="B87" s="58" t="n"/>
      <c r="C87" s="38" t="n"/>
      <c r="D87" s="38" t="n"/>
      <c r="E87" s="41" t="n"/>
      <c r="F87" s="57">
        <f>IF(D87="","",IFERROR(INDEX(Referensi!$J$5:$J$30,MATCH(D87,Referensi!$I$5:$I$30,0)),"?"))</f>
        <v/>
      </c>
      <c r="G87" s="38" t="n"/>
      <c r="H87" s="38" t="n"/>
      <c r="I87" s="38" t="n"/>
      <c r="J87" s="38" t="n"/>
    </row>
    <row r="88" ht="15" customHeight="1" s="33">
      <c r="A88" s="57">
        <f>IF(B88="","",ROW()-4)</f>
        <v/>
      </c>
      <c r="B88" s="58" t="n"/>
      <c r="C88" s="38" t="n"/>
      <c r="D88" s="38" t="n"/>
      <c r="E88" s="41" t="n"/>
      <c r="F88" s="57">
        <f>IF(D88="","",IFERROR(INDEX(Referensi!$J$5:$J$30,MATCH(D88,Referensi!$I$5:$I$30,0)),"?"))</f>
        <v/>
      </c>
      <c r="G88" s="38" t="n"/>
      <c r="H88" s="38" t="n"/>
      <c r="I88" s="38" t="n"/>
      <c r="J88" s="38" t="n"/>
    </row>
    <row r="89" ht="15" customHeight="1" s="33">
      <c r="A89" s="57">
        <f>IF(B89="","",ROW()-4)</f>
        <v/>
      </c>
      <c r="B89" s="58" t="n"/>
      <c r="C89" s="38" t="n"/>
      <c r="D89" s="38" t="n"/>
      <c r="E89" s="41" t="n"/>
      <c r="F89" s="57">
        <f>IF(D89="","",IFERROR(INDEX(Referensi!$J$5:$J$30,MATCH(D89,Referensi!$I$5:$I$30,0)),"?"))</f>
        <v/>
      </c>
      <c r="G89" s="38" t="n"/>
      <c r="H89" s="38" t="n"/>
      <c r="I89" s="38" t="n"/>
      <c r="J89" s="38" t="n"/>
    </row>
    <row r="90" ht="15" customHeight="1" s="33">
      <c r="A90" s="57">
        <f>IF(B90="","",ROW()-4)</f>
        <v/>
      </c>
      <c r="B90" s="58" t="n"/>
      <c r="C90" s="38" t="n"/>
      <c r="D90" s="38" t="n"/>
      <c r="E90" s="41" t="n"/>
      <c r="F90" s="57">
        <f>IF(D90="","",IFERROR(INDEX(Referensi!$J$5:$J$30,MATCH(D90,Referensi!$I$5:$I$30,0)),"?"))</f>
        <v/>
      </c>
      <c r="G90" s="38" t="n"/>
      <c r="H90" s="38" t="n"/>
      <c r="I90" s="38" t="n"/>
      <c r="J90" s="38" t="n"/>
    </row>
    <row r="91" ht="15" customHeight="1" s="33">
      <c r="A91" s="57">
        <f>IF(B91="","",ROW()-4)</f>
        <v/>
      </c>
      <c r="B91" s="58" t="n"/>
      <c r="C91" s="38" t="n"/>
      <c r="D91" s="38" t="n"/>
      <c r="E91" s="41" t="n"/>
      <c r="F91" s="57">
        <f>IF(D91="","",IFERROR(INDEX(Referensi!$J$5:$J$30,MATCH(D91,Referensi!$I$5:$I$30,0)),"?"))</f>
        <v/>
      </c>
      <c r="G91" s="38" t="n"/>
      <c r="H91" s="38" t="n"/>
      <c r="I91" s="38" t="n"/>
      <c r="J91" s="38" t="n"/>
    </row>
    <row r="92" ht="15" customHeight="1" s="33">
      <c r="A92" s="57">
        <f>IF(B92="","",ROW()-4)</f>
        <v/>
      </c>
      <c r="B92" s="58" t="n"/>
      <c r="C92" s="38" t="n"/>
      <c r="D92" s="38" t="n"/>
      <c r="E92" s="41" t="n"/>
      <c r="F92" s="57">
        <f>IF(D92="","",IFERROR(INDEX(Referensi!$J$5:$J$30,MATCH(D92,Referensi!$I$5:$I$30,0)),"?"))</f>
        <v/>
      </c>
      <c r="G92" s="38" t="n"/>
      <c r="H92" s="38" t="n"/>
      <c r="I92" s="38" t="n"/>
      <c r="J92" s="38" t="n"/>
    </row>
    <row r="93" ht="15" customHeight="1" s="33">
      <c r="A93" s="57">
        <f>IF(B93="","",ROW()-4)</f>
        <v/>
      </c>
      <c r="B93" s="58" t="n"/>
      <c r="C93" s="38" t="n"/>
      <c r="D93" s="38" t="n"/>
      <c r="E93" s="41" t="n"/>
      <c r="F93" s="57">
        <f>IF(D93="","",IFERROR(INDEX(Referensi!$J$5:$J$30,MATCH(D93,Referensi!$I$5:$I$30,0)),"?"))</f>
        <v/>
      </c>
      <c r="G93" s="38" t="n"/>
      <c r="H93" s="38" t="n"/>
      <c r="I93" s="38" t="n"/>
      <c r="J93" s="38" t="n"/>
    </row>
    <row r="94" ht="15" customHeight="1" s="33">
      <c r="A94" s="57">
        <f>IF(B94="","",ROW()-4)</f>
        <v/>
      </c>
      <c r="B94" s="58" t="n"/>
      <c r="C94" s="38" t="n"/>
      <c r="D94" s="38" t="n"/>
      <c r="E94" s="41" t="n"/>
      <c r="F94" s="57">
        <f>IF(D94="","",IFERROR(INDEX(Referensi!$J$5:$J$30,MATCH(D94,Referensi!$I$5:$I$30,0)),"?"))</f>
        <v/>
      </c>
      <c r="G94" s="38" t="n"/>
      <c r="H94" s="38" t="n"/>
      <c r="I94" s="38" t="n"/>
      <c r="J94" s="38" t="n"/>
    </row>
    <row r="95" ht="15" customHeight="1" s="33">
      <c r="A95" s="57">
        <f>IF(B95="","",ROW()-4)</f>
        <v/>
      </c>
      <c r="B95" s="58" t="n"/>
      <c r="C95" s="38" t="n"/>
      <c r="D95" s="38" t="n"/>
      <c r="E95" s="41" t="n"/>
      <c r="F95" s="57">
        <f>IF(D95="","",IFERROR(INDEX(Referensi!$J$5:$J$30,MATCH(D95,Referensi!$I$5:$I$30,0)),"?"))</f>
        <v/>
      </c>
      <c r="G95" s="38" t="n"/>
      <c r="H95" s="38" t="n"/>
      <c r="I95" s="38" t="n"/>
      <c r="J95" s="38" t="n"/>
    </row>
    <row r="96" ht="15" customHeight="1" s="33">
      <c r="A96" s="57">
        <f>IF(B96="","",ROW()-4)</f>
        <v/>
      </c>
      <c r="B96" s="58" t="n"/>
      <c r="C96" s="38" t="n"/>
      <c r="D96" s="38" t="n"/>
      <c r="E96" s="41" t="n"/>
      <c r="F96" s="57">
        <f>IF(D96="","",IFERROR(INDEX(Referensi!$J$5:$J$30,MATCH(D96,Referensi!$I$5:$I$30,0)),"?"))</f>
        <v/>
      </c>
      <c r="G96" s="38" t="n"/>
      <c r="H96" s="38" t="n"/>
      <c r="I96" s="38" t="n"/>
      <c r="J96" s="38" t="n"/>
    </row>
    <row r="97" ht="15" customHeight="1" s="33">
      <c r="A97" s="57">
        <f>IF(B97="","",ROW()-4)</f>
        <v/>
      </c>
      <c r="B97" s="58" t="n"/>
      <c r="C97" s="38" t="n"/>
      <c r="D97" s="38" t="n"/>
      <c r="E97" s="41" t="n"/>
      <c r="F97" s="57">
        <f>IF(D97="","",IFERROR(INDEX(Referensi!$J$5:$J$30,MATCH(D97,Referensi!$I$5:$I$30,0)),"?"))</f>
        <v/>
      </c>
      <c r="G97" s="38" t="n"/>
      <c r="H97" s="38" t="n"/>
      <c r="I97" s="38" t="n"/>
      <c r="J97" s="38" t="n"/>
    </row>
    <row r="98" ht="15" customHeight="1" s="33">
      <c r="A98" s="57">
        <f>IF(B98="","",ROW()-4)</f>
        <v/>
      </c>
      <c r="B98" s="58" t="n"/>
      <c r="C98" s="38" t="n"/>
      <c r="D98" s="38" t="n"/>
      <c r="E98" s="41" t="n"/>
      <c r="F98" s="57">
        <f>IF(D98="","",IFERROR(INDEX(Referensi!$J$5:$J$30,MATCH(D98,Referensi!$I$5:$I$30,0)),"?"))</f>
        <v/>
      </c>
      <c r="G98" s="38" t="n"/>
      <c r="H98" s="38" t="n"/>
      <c r="I98" s="38" t="n"/>
      <c r="J98" s="38" t="n"/>
    </row>
    <row r="99" ht="15" customHeight="1" s="33">
      <c r="A99" s="57">
        <f>IF(B99="","",ROW()-4)</f>
        <v/>
      </c>
      <c r="B99" s="58" t="n"/>
      <c r="C99" s="38" t="n"/>
      <c r="D99" s="38" t="n"/>
      <c r="E99" s="41" t="n"/>
      <c r="F99" s="57">
        <f>IF(D99="","",IFERROR(INDEX(Referensi!$J$5:$J$30,MATCH(D99,Referensi!$I$5:$I$30,0)),"?"))</f>
        <v/>
      </c>
      <c r="G99" s="38" t="n"/>
      <c r="H99" s="38" t="n"/>
      <c r="I99" s="38" t="n"/>
      <c r="J99" s="38" t="n"/>
    </row>
    <row r="100" ht="15" customHeight="1" s="33">
      <c r="A100" s="57">
        <f>IF(B100="","",ROW()-4)</f>
        <v/>
      </c>
      <c r="B100" s="58" t="n"/>
      <c r="C100" s="38" t="n"/>
      <c r="D100" s="38" t="n"/>
      <c r="E100" s="41" t="n"/>
      <c r="F100" s="57">
        <f>IF(D100="","",IFERROR(INDEX(Referensi!$J$5:$J$30,MATCH(D100,Referensi!$I$5:$I$30,0)),"?"))</f>
        <v/>
      </c>
      <c r="G100" s="38" t="n"/>
      <c r="H100" s="38" t="n"/>
      <c r="I100" s="38" t="n"/>
      <c r="J100" s="38" t="n"/>
    </row>
    <row r="101" ht="15" customHeight="1" s="33">
      <c r="A101" s="57">
        <f>IF(B101="","",ROW()-4)</f>
        <v/>
      </c>
      <c r="B101" s="58" t="n"/>
      <c r="C101" s="38" t="n"/>
      <c r="D101" s="38" t="n"/>
      <c r="E101" s="41" t="n"/>
      <c r="F101" s="57">
        <f>IF(D101="","",IFERROR(INDEX(Referensi!$J$5:$J$30,MATCH(D101,Referensi!$I$5:$I$30,0)),"?"))</f>
        <v/>
      </c>
      <c r="G101" s="38" t="n"/>
      <c r="H101" s="38" t="n"/>
      <c r="I101" s="38" t="n"/>
      <c r="J101" s="38" t="n"/>
    </row>
    <row r="102" ht="15" customHeight="1" s="33">
      <c r="A102" s="57">
        <f>IF(B102="","",ROW()-4)</f>
        <v/>
      </c>
      <c r="B102" s="58" t="n"/>
      <c r="C102" s="38" t="n"/>
      <c r="D102" s="38" t="n"/>
      <c r="E102" s="41" t="n"/>
      <c r="F102" s="57">
        <f>IF(D102="","",IFERROR(INDEX(Referensi!$J$5:$J$30,MATCH(D102,Referensi!$I$5:$I$30,0)),"?"))</f>
        <v/>
      </c>
      <c r="G102" s="38" t="n"/>
      <c r="H102" s="38" t="n"/>
      <c r="I102" s="38" t="n"/>
      <c r="J102" s="38" t="n"/>
    </row>
    <row r="103" ht="15" customHeight="1" s="33">
      <c r="A103" s="57">
        <f>IF(B103="","",ROW()-4)</f>
        <v/>
      </c>
      <c r="B103" s="58" t="n"/>
      <c r="C103" s="38" t="n"/>
      <c r="D103" s="38" t="n"/>
      <c r="E103" s="41" t="n"/>
      <c r="F103" s="57">
        <f>IF(D103="","",IFERROR(INDEX(Referensi!$J$5:$J$30,MATCH(D103,Referensi!$I$5:$I$30,0)),"?"))</f>
        <v/>
      </c>
      <c r="G103" s="38" t="n"/>
      <c r="H103" s="38" t="n"/>
      <c r="I103" s="38" t="n"/>
      <c r="J103" s="38" t="n"/>
    </row>
    <row r="104" ht="15" customHeight="1" s="33">
      <c r="A104" s="57">
        <f>IF(B104="","",ROW()-4)</f>
        <v/>
      </c>
      <c r="B104" s="58" t="n"/>
      <c r="C104" s="38" t="n"/>
      <c r="D104" s="38" t="n"/>
      <c r="E104" s="41" t="n"/>
      <c r="F104" s="57">
        <f>IF(D104="","",IFERROR(INDEX(Referensi!$J$5:$J$30,MATCH(D104,Referensi!$I$5:$I$30,0)),"?"))</f>
        <v/>
      </c>
      <c r="G104" s="38" t="n"/>
      <c r="H104" s="38" t="n"/>
      <c r="I104" s="38" t="n"/>
      <c r="J104" s="38" t="n"/>
    </row>
    <row r="105" ht="15" customHeight="1" s="33">
      <c r="A105" s="57">
        <f>IF(B105="","",ROW()-4)</f>
        <v/>
      </c>
      <c r="B105" s="58" t="n"/>
      <c r="C105" s="38" t="n"/>
      <c r="D105" s="38" t="n"/>
      <c r="E105" s="41" t="n"/>
      <c r="F105" s="57">
        <f>IF(D105="","",IFERROR(INDEX(Referensi!$J$5:$J$30,MATCH(D105,Referensi!$I$5:$I$30,0)),"?"))</f>
        <v/>
      </c>
      <c r="G105" s="38" t="n"/>
      <c r="H105" s="38" t="n"/>
      <c r="I105" s="38" t="n"/>
      <c r="J105" s="38" t="n"/>
    </row>
    <row r="106" ht="15" customHeight="1" s="33">
      <c r="A106" s="57">
        <f>IF(B106="","",ROW()-4)</f>
        <v/>
      </c>
      <c r="B106" s="58" t="n"/>
      <c r="C106" s="38" t="n"/>
      <c r="D106" s="38" t="n"/>
      <c r="E106" s="41" t="n"/>
      <c r="F106" s="57">
        <f>IF(D106="","",IFERROR(INDEX(Referensi!$J$5:$J$30,MATCH(D106,Referensi!$I$5:$I$30,0)),"?"))</f>
        <v/>
      </c>
      <c r="G106" s="38" t="n"/>
      <c r="H106" s="38" t="n"/>
      <c r="I106" s="38" t="n"/>
      <c r="J106" s="38" t="n"/>
    </row>
    <row r="107" ht="15" customHeight="1" s="33">
      <c r="A107" s="57">
        <f>IF(B107="","",ROW()-4)</f>
        <v/>
      </c>
      <c r="B107" s="58" t="n"/>
      <c r="C107" s="38" t="n"/>
      <c r="D107" s="38" t="n"/>
      <c r="E107" s="41" t="n"/>
      <c r="F107" s="57">
        <f>IF(D107="","",IFERROR(INDEX(Referensi!$J$5:$J$30,MATCH(D107,Referensi!$I$5:$I$30,0)),"?"))</f>
        <v/>
      </c>
      <c r="G107" s="38" t="n"/>
      <c r="H107" s="38" t="n"/>
      <c r="I107" s="38" t="n"/>
      <c r="J107" s="38" t="n"/>
    </row>
    <row r="108" ht="15" customHeight="1" s="33">
      <c r="A108" s="57">
        <f>IF(B108="","",ROW()-4)</f>
        <v/>
      </c>
      <c r="B108" s="58" t="n"/>
      <c r="C108" s="38" t="n"/>
      <c r="D108" s="38" t="n"/>
      <c r="E108" s="41" t="n"/>
      <c r="F108" s="57">
        <f>IF(D108="","",IFERROR(INDEX(Referensi!$J$5:$J$30,MATCH(D108,Referensi!$I$5:$I$30,0)),"?"))</f>
        <v/>
      </c>
      <c r="G108" s="38" t="n"/>
      <c r="H108" s="38" t="n"/>
      <c r="I108" s="38" t="n"/>
      <c r="J108" s="38" t="n"/>
    </row>
    <row r="109" ht="15" customHeight="1" s="33">
      <c r="A109" s="57">
        <f>IF(B109="","",ROW()-4)</f>
        <v/>
      </c>
      <c r="B109" s="58" t="n"/>
      <c r="C109" s="38" t="n"/>
      <c r="D109" s="38" t="n"/>
      <c r="E109" s="41" t="n"/>
      <c r="F109" s="57">
        <f>IF(D109="","",IFERROR(INDEX(Referensi!$J$5:$J$30,MATCH(D109,Referensi!$I$5:$I$30,0)),"?"))</f>
        <v/>
      </c>
      <c r="G109" s="38" t="n"/>
      <c r="H109" s="38" t="n"/>
      <c r="I109" s="38" t="n"/>
      <c r="J109" s="38" t="n"/>
    </row>
    <row r="110" ht="15" customHeight="1" s="33">
      <c r="A110" s="57">
        <f>IF(B110="","",ROW()-4)</f>
        <v/>
      </c>
      <c r="B110" s="58" t="n"/>
      <c r="C110" s="38" t="n"/>
      <c r="D110" s="38" t="n"/>
      <c r="E110" s="41" t="n"/>
      <c r="F110" s="57">
        <f>IF(D110="","",IFERROR(INDEX(Referensi!$J$5:$J$30,MATCH(D110,Referensi!$I$5:$I$30,0)),"?"))</f>
        <v/>
      </c>
      <c r="G110" s="38" t="n"/>
      <c r="H110" s="38" t="n"/>
      <c r="I110" s="38" t="n"/>
      <c r="J110" s="38" t="n"/>
    </row>
    <row r="111" ht="15" customHeight="1" s="33">
      <c r="A111" s="57">
        <f>IF(B111="","",ROW()-4)</f>
        <v/>
      </c>
      <c r="B111" s="58" t="n"/>
      <c r="C111" s="38" t="n"/>
      <c r="D111" s="38" t="n"/>
      <c r="E111" s="41" t="n"/>
      <c r="F111" s="57">
        <f>IF(D111="","",IFERROR(INDEX(Referensi!$J$5:$J$30,MATCH(D111,Referensi!$I$5:$I$30,0)),"?"))</f>
        <v/>
      </c>
      <c r="G111" s="38" t="n"/>
      <c r="H111" s="38" t="n"/>
      <c r="I111" s="38" t="n"/>
      <c r="J111" s="38" t="n"/>
    </row>
    <row r="112" ht="15" customHeight="1" s="33">
      <c r="A112" s="57">
        <f>IF(B112="","",ROW()-4)</f>
        <v/>
      </c>
      <c r="B112" s="58" t="n"/>
      <c r="C112" s="38" t="n"/>
      <c r="D112" s="38" t="n"/>
      <c r="E112" s="41" t="n"/>
      <c r="F112" s="57">
        <f>IF(D112="","",IFERROR(INDEX(Referensi!$J$5:$J$30,MATCH(D112,Referensi!$I$5:$I$30,0)),"?"))</f>
        <v/>
      </c>
      <c r="G112" s="38" t="n"/>
      <c r="H112" s="38" t="n"/>
      <c r="I112" s="38" t="n"/>
      <c r="J112" s="38" t="n"/>
    </row>
    <row r="113" ht="15" customHeight="1" s="33">
      <c r="A113" s="57">
        <f>IF(B113="","",ROW()-4)</f>
        <v/>
      </c>
      <c r="B113" s="58" t="n"/>
      <c r="C113" s="38" t="n"/>
      <c r="D113" s="38" t="n"/>
      <c r="E113" s="41" t="n"/>
      <c r="F113" s="57">
        <f>IF(D113="","",IFERROR(INDEX(Referensi!$J$5:$J$30,MATCH(D113,Referensi!$I$5:$I$30,0)),"?"))</f>
        <v/>
      </c>
      <c r="G113" s="38" t="n"/>
      <c r="H113" s="38" t="n"/>
      <c r="I113" s="38" t="n"/>
      <c r="J113" s="38" t="n"/>
    </row>
    <row r="114" ht="15" customHeight="1" s="33">
      <c r="A114" s="57">
        <f>IF(B114="","",ROW()-4)</f>
        <v/>
      </c>
      <c r="B114" s="58" t="n"/>
      <c r="C114" s="38" t="n"/>
      <c r="D114" s="38" t="n"/>
      <c r="E114" s="41" t="n"/>
      <c r="F114" s="57">
        <f>IF(D114="","",IFERROR(INDEX(Referensi!$J$5:$J$30,MATCH(D114,Referensi!$I$5:$I$30,0)),"?"))</f>
        <v/>
      </c>
      <c r="G114" s="38" t="n"/>
      <c r="H114" s="38" t="n"/>
      <c r="I114" s="38" t="n"/>
      <c r="J114" s="38" t="n"/>
    </row>
    <row r="115" ht="15" customHeight="1" s="33">
      <c r="A115" s="57">
        <f>IF(B115="","",ROW()-4)</f>
        <v/>
      </c>
      <c r="B115" s="58" t="n"/>
      <c r="C115" s="38" t="n"/>
      <c r="D115" s="38" t="n"/>
      <c r="E115" s="41" t="n"/>
      <c r="F115" s="57">
        <f>IF(D115="","",IFERROR(INDEX(Referensi!$J$5:$J$30,MATCH(D115,Referensi!$I$5:$I$30,0)),"?"))</f>
        <v/>
      </c>
      <c r="G115" s="38" t="n"/>
      <c r="H115" s="38" t="n"/>
      <c r="I115" s="38" t="n"/>
      <c r="J115" s="38" t="n"/>
    </row>
    <row r="116" ht="15" customHeight="1" s="33">
      <c r="A116" s="57">
        <f>IF(B116="","",ROW()-4)</f>
        <v/>
      </c>
      <c r="B116" s="58" t="n"/>
      <c r="C116" s="38" t="n"/>
      <c r="D116" s="38" t="n"/>
      <c r="E116" s="41" t="n"/>
      <c r="F116" s="57">
        <f>IF(D116="","",IFERROR(INDEX(Referensi!$J$5:$J$30,MATCH(D116,Referensi!$I$5:$I$30,0)),"?"))</f>
        <v/>
      </c>
      <c r="G116" s="38" t="n"/>
      <c r="H116" s="38" t="n"/>
      <c r="I116" s="38" t="n"/>
      <c r="J116" s="38" t="n"/>
    </row>
    <row r="117" ht="15" customHeight="1" s="33">
      <c r="A117" s="57">
        <f>IF(B117="","",ROW()-4)</f>
        <v/>
      </c>
      <c r="B117" s="58" t="n"/>
      <c r="C117" s="38" t="n"/>
      <c r="D117" s="38" t="n"/>
      <c r="E117" s="41" t="n"/>
      <c r="F117" s="57">
        <f>IF(D117="","",IFERROR(INDEX(Referensi!$J$5:$J$30,MATCH(D117,Referensi!$I$5:$I$30,0)),"?"))</f>
        <v/>
      </c>
      <c r="G117" s="38" t="n"/>
      <c r="H117" s="38" t="n"/>
      <c r="I117" s="38" t="n"/>
      <c r="J117" s="38" t="n"/>
    </row>
    <row r="118" ht="15" customHeight="1" s="33">
      <c r="A118" s="57">
        <f>IF(B118="","",ROW()-4)</f>
        <v/>
      </c>
      <c r="B118" s="58" t="n"/>
      <c r="C118" s="38" t="n"/>
      <c r="D118" s="38" t="n"/>
      <c r="E118" s="41" t="n"/>
      <c r="F118" s="57">
        <f>IF(D118="","",IFERROR(INDEX(Referensi!$J$5:$J$30,MATCH(D118,Referensi!$I$5:$I$30,0)),"?"))</f>
        <v/>
      </c>
      <c r="G118" s="38" t="n"/>
      <c r="H118" s="38" t="n"/>
      <c r="I118" s="38" t="n"/>
      <c r="J118" s="38" t="n"/>
    </row>
    <row r="119" ht="15" customHeight="1" s="33">
      <c r="A119" s="57">
        <f>IF(B119="","",ROW()-4)</f>
        <v/>
      </c>
      <c r="B119" s="58" t="n"/>
      <c r="C119" s="38" t="n"/>
      <c r="D119" s="38" t="n"/>
      <c r="E119" s="41" t="n"/>
      <c r="F119" s="57">
        <f>IF(D119="","",IFERROR(INDEX(Referensi!$J$5:$J$30,MATCH(D119,Referensi!$I$5:$I$30,0)),"?"))</f>
        <v/>
      </c>
      <c r="G119" s="38" t="n"/>
      <c r="H119" s="38" t="n"/>
      <c r="I119" s="38" t="n"/>
      <c r="J119" s="38" t="n"/>
    </row>
    <row r="120" ht="15" customHeight="1" s="33">
      <c r="A120" s="57">
        <f>IF(B120="","",ROW()-4)</f>
        <v/>
      </c>
      <c r="B120" s="58" t="n"/>
      <c r="C120" s="38" t="n"/>
      <c r="D120" s="38" t="n"/>
      <c r="E120" s="41" t="n"/>
      <c r="F120" s="57">
        <f>IF(D120="","",IFERROR(INDEX(Referensi!$J$5:$J$30,MATCH(D120,Referensi!$I$5:$I$30,0)),"?"))</f>
        <v/>
      </c>
      <c r="G120" s="38" t="n"/>
      <c r="H120" s="38" t="n"/>
      <c r="I120" s="38" t="n"/>
      <c r="J120" s="38" t="n"/>
    </row>
    <row r="121" ht="15" customHeight="1" s="33">
      <c r="A121" s="57">
        <f>IF(B121="","",ROW()-4)</f>
        <v/>
      </c>
      <c r="B121" s="58" t="n"/>
      <c r="C121" s="38" t="n"/>
      <c r="D121" s="38" t="n"/>
      <c r="E121" s="41" t="n"/>
      <c r="F121" s="57">
        <f>IF(D121="","",IFERROR(INDEX(Referensi!$J$5:$J$30,MATCH(D121,Referensi!$I$5:$I$30,0)),"?"))</f>
        <v/>
      </c>
      <c r="G121" s="38" t="n"/>
      <c r="H121" s="38" t="n"/>
      <c r="I121" s="38" t="n"/>
      <c r="J121" s="38" t="n"/>
    </row>
    <row r="122" ht="15" customHeight="1" s="33">
      <c r="A122" s="57">
        <f>IF(B122="","",ROW()-4)</f>
        <v/>
      </c>
      <c r="B122" s="58" t="n"/>
      <c r="C122" s="38" t="n"/>
      <c r="D122" s="38" t="n"/>
      <c r="E122" s="41" t="n"/>
      <c r="F122" s="57">
        <f>IF(D122="","",IFERROR(INDEX(Referensi!$J$5:$J$30,MATCH(D122,Referensi!$I$5:$I$30,0)),"?"))</f>
        <v/>
      </c>
      <c r="G122" s="38" t="n"/>
      <c r="H122" s="38" t="n"/>
      <c r="I122" s="38" t="n"/>
      <c r="J122" s="38" t="n"/>
    </row>
    <row r="123" ht="15" customHeight="1" s="33">
      <c r="A123" s="57">
        <f>IF(B123="","",ROW()-4)</f>
        <v/>
      </c>
      <c r="B123" s="58" t="n"/>
      <c r="C123" s="38" t="n"/>
      <c r="D123" s="38" t="n"/>
      <c r="E123" s="41" t="n"/>
      <c r="F123" s="57">
        <f>IF(D123="","",IFERROR(INDEX(Referensi!$J$5:$J$30,MATCH(D123,Referensi!$I$5:$I$30,0)),"?"))</f>
        <v/>
      </c>
      <c r="G123" s="38" t="n"/>
      <c r="H123" s="38" t="n"/>
      <c r="I123" s="38" t="n"/>
      <c r="J123" s="38" t="n"/>
    </row>
    <row r="124" ht="15" customHeight="1" s="33">
      <c r="A124" s="57">
        <f>IF(B124="","",ROW()-4)</f>
        <v/>
      </c>
      <c r="B124" s="58" t="n"/>
      <c r="C124" s="38" t="n"/>
      <c r="D124" s="38" t="n"/>
      <c r="E124" s="41" t="n"/>
      <c r="F124" s="57">
        <f>IF(D124="","",IFERROR(INDEX(Referensi!$J$5:$J$30,MATCH(D124,Referensi!$I$5:$I$30,0)),"?"))</f>
        <v/>
      </c>
      <c r="G124" s="38" t="n"/>
      <c r="H124" s="38" t="n"/>
      <c r="I124" s="38" t="n"/>
      <c r="J124" s="38" t="n"/>
    </row>
    <row r="125" ht="15" customHeight="1" s="33">
      <c r="A125" s="57">
        <f>IF(B125="","",ROW()-4)</f>
        <v/>
      </c>
      <c r="B125" s="58" t="n"/>
      <c r="C125" s="38" t="n"/>
      <c r="D125" s="38" t="n"/>
      <c r="E125" s="41" t="n"/>
      <c r="F125" s="57">
        <f>IF(D125="","",IFERROR(INDEX(Referensi!$J$5:$J$30,MATCH(D125,Referensi!$I$5:$I$30,0)),"?"))</f>
        <v/>
      </c>
      <c r="G125" s="38" t="n"/>
      <c r="H125" s="38" t="n"/>
      <c r="I125" s="38" t="n"/>
      <c r="J125" s="38" t="n"/>
    </row>
    <row r="126" ht="15" customHeight="1" s="33">
      <c r="A126" s="57">
        <f>IF(B126="","",ROW()-4)</f>
        <v/>
      </c>
      <c r="B126" s="58" t="n"/>
      <c r="C126" s="38" t="n"/>
      <c r="D126" s="38" t="n"/>
      <c r="E126" s="41" t="n"/>
      <c r="F126" s="57">
        <f>IF(D126="","",IFERROR(INDEX(Referensi!$J$5:$J$30,MATCH(D126,Referensi!$I$5:$I$30,0)),"?"))</f>
        <v/>
      </c>
      <c r="G126" s="38" t="n"/>
      <c r="H126" s="38" t="n"/>
      <c r="I126" s="38" t="n"/>
      <c r="J126" s="38" t="n"/>
    </row>
    <row r="127" ht="15" customHeight="1" s="33">
      <c r="A127" s="57">
        <f>IF(B127="","",ROW()-4)</f>
        <v/>
      </c>
      <c r="B127" s="58" t="n"/>
      <c r="C127" s="38" t="n"/>
      <c r="D127" s="38" t="n"/>
      <c r="E127" s="41" t="n"/>
      <c r="F127" s="57">
        <f>IF(D127="","",IFERROR(INDEX(Referensi!$J$5:$J$30,MATCH(D127,Referensi!$I$5:$I$30,0)),"?"))</f>
        <v/>
      </c>
      <c r="G127" s="38" t="n"/>
      <c r="H127" s="38" t="n"/>
      <c r="I127" s="38" t="n"/>
      <c r="J127" s="38" t="n"/>
    </row>
    <row r="128" ht="15" customHeight="1" s="33">
      <c r="A128" s="57">
        <f>IF(B128="","",ROW()-4)</f>
        <v/>
      </c>
      <c r="B128" s="58" t="n"/>
      <c r="C128" s="38" t="n"/>
      <c r="D128" s="38" t="n"/>
      <c r="E128" s="41" t="n"/>
      <c r="F128" s="57">
        <f>IF(D128="","",IFERROR(INDEX(Referensi!$J$5:$J$30,MATCH(D128,Referensi!$I$5:$I$30,0)),"?"))</f>
        <v/>
      </c>
      <c r="G128" s="38" t="n"/>
      <c r="H128" s="38" t="n"/>
      <c r="I128" s="38" t="n"/>
      <c r="J128" s="38" t="n"/>
    </row>
    <row r="129" ht="15" customHeight="1" s="33">
      <c r="A129" s="57">
        <f>IF(B129="","",ROW()-4)</f>
        <v/>
      </c>
      <c r="B129" s="58" t="n"/>
      <c r="C129" s="38" t="n"/>
      <c r="D129" s="38" t="n"/>
      <c r="E129" s="41" t="n"/>
      <c r="F129" s="57">
        <f>IF(D129="","",IFERROR(INDEX(Referensi!$J$5:$J$30,MATCH(D129,Referensi!$I$5:$I$30,0)),"?"))</f>
        <v/>
      </c>
      <c r="G129" s="38" t="n"/>
      <c r="H129" s="38" t="n"/>
      <c r="I129" s="38" t="n"/>
      <c r="J129" s="38" t="n"/>
    </row>
    <row r="130" ht="15" customHeight="1" s="33">
      <c r="A130" s="57">
        <f>IF(B130="","",ROW()-4)</f>
        <v/>
      </c>
      <c r="B130" s="58" t="n"/>
      <c r="C130" s="38" t="n"/>
      <c r="D130" s="38" t="n"/>
      <c r="E130" s="41" t="n"/>
      <c r="F130" s="57">
        <f>IF(D130="","",IFERROR(INDEX(Referensi!$J$5:$J$30,MATCH(D130,Referensi!$I$5:$I$30,0)),"?"))</f>
        <v/>
      </c>
      <c r="G130" s="38" t="n"/>
      <c r="H130" s="38" t="n"/>
      <c r="I130" s="38" t="n"/>
      <c r="J130" s="38" t="n"/>
    </row>
    <row r="131" ht="15" customHeight="1" s="33">
      <c r="A131" s="57">
        <f>IF(B131="","",ROW()-4)</f>
        <v/>
      </c>
      <c r="B131" s="58" t="n"/>
      <c r="C131" s="38" t="n"/>
      <c r="D131" s="38" t="n"/>
      <c r="E131" s="41" t="n"/>
      <c r="F131" s="57">
        <f>IF(D131="","",IFERROR(INDEX(Referensi!$J$5:$J$30,MATCH(D131,Referensi!$I$5:$I$30,0)),"?"))</f>
        <v/>
      </c>
      <c r="G131" s="38" t="n"/>
      <c r="H131" s="38" t="n"/>
      <c r="I131" s="38" t="n"/>
      <c r="J131" s="38" t="n"/>
    </row>
    <row r="132" ht="15" customHeight="1" s="33">
      <c r="A132" s="57">
        <f>IF(B132="","",ROW()-4)</f>
        <v/>
      </c>
      <c r="B132" s="58" t="n"/>
      <c r="C132" s="38" t="n"/>
      <c r="D132" s="38" t="n"/>
      <c r="E132" s="41" t="n"/>
      <c r="F132" s="57">
        <f>IF(D132="","",IFERROR(INDEX(Referensi!$J$5:$J$30,MATCH(D132,Referensi!$I$5:$I$30,0)),"?"))</f>
        <v/>
      </c>
      <c r="G132" s="38" t="n"/>
      <c r="H132" s="38" t="n"/>
      <c r="I132" s="38" t="n"/>
      <c r="J132" s="38" t="n"/>
    </row>
    <row r="133" ht="15" customHeight="1" s="33">
      <c r="A133" s="57">
        <f>IF(B133="","",ROW()-4)</f>
        <v/>
      </c>
      <c r="B133" s="58" t="n"/>
      <c r="C133" s="38" t="n"/>
      <c r="D133" s="38" t="n"/>
      <c r="E133" s="41" t="n"/>
      <c r="F133" s="57">
        <f>IF(D133="","",IFERROR(INDEX(Referensi!$J$5:$J$30,MATCH(D133,Referensi!$I$5:$I$30,0)),"?"))</f>
        <v/>
      </c>
      <c r="G133" s="38" t="n"/>
      <c r="H133" s="38" t="n"/>
      <c r="I133" s="38" t="n"/>
      <c r="J133" s="38" t="n"/>
    </row>
    <row r="134" ht="15" customHeight="1" s="33">
      <c r="A134" s="57">
        <f>IF(B134="","",ROW()-4)</f>
        <v/>
      </c>
      <c r="B134" s="58" t="n"/>
      <c r="C134" s="38" t="n"/>
      <c r="D134" s="38" t="n"/>
      <c r="E134" s="41" t="n"/>
      <c r="F134" s="57">
        <f>IF(D134="","",IFERROR(INDEX(Referensi!$J$5:$J$30,MATCH(D134,Referensi!$I$5:$I$30,0)),"?"))</f>
        <v/>
      </c>
      <c r="G134" s="38" t="n"/>
      <c r="H134" s="38" t="n"/>
      <c r="I134" s="38" t="n"/>
      <c r="J134" s="38" t="n"/>
    </row>
    <row r="135" ht="15" customHeight="1" s="33">
      <c r="A135" s="57">
        <f>IF(B135="","",ROW()-4)</f>
        <v/>
      </c>
      <c r="B135" s="58" t="n"/>
      <c r="C135" s="38" t="n"/>
      <c r="D135" s="38" t="n"/>
      <c r="E135" s="41" t="n"/>
      <c r="F135" s="57">
        <f>IF(D135="","",IFERROR(INDEX(Referensi!$J$5:$J$30,MATCH(D135,Referensi!$I$5:$I$30,0)),"?"))</f>
        <v/>
      </c>
      <c r="G135" s="38" t="n"/>
      <c r="H135" s="38" t="n"/>
      <c r="I135" s="38" t="n"/>
      <c r="J135" s="38" t="n"/>
    </row>
    <row r="136" ht="15" customHeight="1" s="33">
      <c r="A136" s="57">
        <f>IF(B136="","",ROW()-4)</f>
        <v/>
      </c>
      <c r="B136" s="58" t="n"/>
      <c r="C136" s="38" t="n"/>
      <c r="D136" s="38" t="n"/>
      <c r="E136" s="41" t="n"/>
      <c r="F136" s="57">
        <f>IF(D136="","",IFERROR(INDEX(Referensi!$J$5:$J$30,MATCH(D136,Referensi!$I$5:$I$30,0)),"?"))</f>
        <v/>
      </c>
      <c r="G136" s="38" t="n"/>
      <c r="H136" s="38" t="n"/>
      <c r="I136" s="38" t="n"/>
      <c r="J136" s="38" t="n"/>
    </row>
    <row r="137" ht="15" customHeight="1" s="33">
      <c r="A137" s="57">
        <f>IF(B137="","",ROW()-4)</f>
        <v/>
      </c>
      <c r="B137" s="58" t="n"/>
      <c r="C137" s="38" t="n"/>
      <c r="D137" s="38" t="n"/>
      <c r="E137" s="41" t="n"/>
      <c r="F137" s="57">
        <f>IF(D137="","",IFERROR(INDEX(Referensi!$J$5:$J$30,MATCH(D137,Referensi!$I$5:$I$30,0)),"?"))</f>
        <v/>
      </c>
      <c r="G137" s="38" t="n"/>
      <c r="H137" s="38" t="n"/>
      <c r="I137" s="38" t="n"/>
      <c r="J137" s="38" t="n"/>
    </row>
    <row r="138" ht="15" customHeight="1" s="33">
      <c r="A138" s="57">
        <f>IF(B138="","",ROW()-4)</f>
        <v/>
      </c>
      <c r="B138" s="58" t="n"/>
      <c r="C138" s="38" t="n"/>
      <c r="D138" s="38" t="n"/>
      <c r="E138" s="41" t="n"/>
      <c r="F138" s="57">
        <f>IF(D138="","",IFERROR(INDEX(Referensi!$J$5:$J$30,MATCH(D138,Referensi!$I$5:$I$30,0)),"?"))</f>
        <v/>
      </c>
      <c r="G138" s="38" t="n"/>
      <c r="H138" s="38" t="n"/>
      <c r="I138" s="38" t="n"/>
      <c r="J138" s="38" t="n"/>
    </row>
    <row r="139" ht="15" customHeight="1" s="33">
      <c r="A139" s="57">
        <f>IF(B139="","",ROW()-4)</f>
        <v/>
      </c>
      <c r="B139" s="58" t="n"/>
      <c r="C139" s="38" t="n"/>
      <c r="D139" s="38" t="n"/>
      <c r="E139" s="41" t="n"/>
      <c r="F139" s="57">
        <f>IF(D139="","",IFERROR(INDEX(Referensi!$J$5:$J$30,MATCH(D139,Referensi!$I$5:$I$30,0)),"?"))</f>
        <v/>
      </c>
      <c r="G139" s="38" t="n"/>
      <c r="H139" s="38" t="n"/>
      <c r="I139" s="38" t="n"/>
      <c r="J139" s="38" t="n"/>
    </row>
    <row r="140" ht="15" customHeight="1" s="33">
      <c r="A140" s="57">
        <f>IF(B140="","",ROW()-4)</f>
        <v/>
      </c>
      <c r="B140" s="58" t="n"/>
      <c r="C140" s="38" t="n"/>
      <c r="D140" s="38" t="n"/>
      <c r="E140" s="41" t="n"/>
      <c r="F140" s="57">
        <f>IF(D140="","",IFERROR(INDEX(Referensi!$J$5:$J$30,MATCH(D140,Referensi!$I$5:$I$30,0)),"?"))</f>
        <v/>
      </c>
      <c r="G140" s="38" t="n"/>
      <c r="H140" s="38" t="n"/>
      <c r="I140" s="38" t="n"/>
      <c r="J140" s="38" t="n"/>
    </row>
    <row r="141" ht="15" customHeight="1" s="33">
      <c r="A141" s="57">
        <f>IF(B141="","",ROW()-4)</f>
        <v/>
      </c>
      <c r="B141" s="58" t="n"/>
      <c r="C141" s="38" t="n"/>
      <c r="D141" s="38" t="n"/>
      <c r="E141" s="41" t="n"/>
      <c r="F141" s="57">
        <f>IF(D141="","",IFERROR(INDEX(Referensi!$J$5:$J$30,MATCH(D141,Referensi!$I$5:$I$30,0)),"?"))</f>
        <v/>
      </c>
      <c r="G141" s="38" t="n"/>
      <c r="H141" s="38" t="n"/>
      <c r="I141" s="38" t="n"/>
      <c r="J141" s="38" t="n"/>
    </row>
    <row r="142" ht="15" customHeight="1" s="33">
      <c r="A142" s="57">
        <f>IF(B142="","",ROW()-4)</f>
        <v/>
      </c>
      <c r="B142" s="58" t="n"/>
      <c r="C142" s="38" t="n"/>
      <c r="D142" s="38" t="n"/>
      <c r="E142" s="41" t="n"/>
      <c r="F142" s="57">
        <f>IF(D142="","",IFERROR(INDEX(Referensi!$J$5:$J$30,MATCH(D142,Referensi!$I$5:$I$30,0)),"?"))</f>
        <v/>
      </c>
      <c r="G142" s="38" t="n"/>
      <c r="H142" s="38" t="n"/>
      <c r="I142" s="38" t="n"/>
      <c r="J142" s="38" t="n"/>
    </row>
    <row r="143" ht="15" customHeight="1" s="33">
      <c r="A143" s="57">
        <f>IF(B143="","",ROW()-4)</f>
        <v/>
      </c>
      <c r="B143" s="58" t="n"/>
      <c r="C143" s="38" t="n"/>
      <c r="D143" s="38" t="n"/>
      <c r="E143" s="41" t="n"/>
      <c r="F143" s="57">
        <f>IF(D143="","",IFERROR(INDEX(Referensi!$J$5:$J$30,MATCH(D143,Referensi!$I$5:$I$30,0)),"?"))</f>
        <v/>
      </c>
      <c r="G143" s="38" t="n"/>
      <c r="H143" s="38" t="n"/>
      <c r="I143" s="38" t="n"/>
      <c r="J143" s="38" t="n"/>
    </row>
    <row r="144" ht="15" customHeight="1" s="33">
      <c r="A144" s="57">
        <f>IF(B144="","",ROW()-4)</f>
        <v/>
      </c>
      <c r="B144" s="58" t="n"/>
      <c r="C144" s="38" t="n"/>
      <c r="D144" s="38" t="n"/>
      <c r="E144" s="41" t="n"/>
      <c r="F144" s="57">
        <f>IF(D144="","",IFERROR(INDEX(Referensi!$J$5:$J$30,MATCH(D144,Referensi!$I$5:$I$30,0)),"?"))</f>
        <v/>
      </c>
      <c r="G144" s="38" t="n"/>
      <c r="H144" s="38" t="n"/>
      <c r="I144" s="38" t="n"/>
      <c r="J144" s="38" t="n"/>
    </row>
    <row r="145" ht="15" customHeight="1" s="33">
      <c r="A145" s="57">
        <f>IF(B145="","",ROW()-4)</f>
        <v/>
      </c>
      <c r="B145" s="58" t="n"/>
      <c r="C145" s="38" t="n"/>
      <c r="D145" s="38" t="n"/>
      <c r="E145" s="41" t="n"/>
      <c r="F145" s="57">
        <f>IF(D145="","",IFERROR(INDEX(Referensi!$J$5:$J$30,MATCH(D145,Referensi!$I$5:$I$30,0)),"?"))</f>
        <v/>
      </c>
      <c r="G145" s="38" t="n"/>
      <c r="H145" s="38" t="n"/>
      <c r="I145" s="38" t="n"/>
      <c r="J145" s="38" t="n"/>
    </row>
    <row r="146" ht="15" customHeight="1" s="33">
      <c r="A146" s="57">
        <f>IF(B146="","",ROW()-4)</f>
        <v/>
      </c>
      <c r="B146" s="58" t="n"/>
      <c r="C146" s="38" t="n"/>
      <c r="D146" s="38" t="n"/>
      <c r="E146" s="41" t="n"/>
      <c r="F146" s="57">
        <f>IF(D146="","",IFERROR(INDEX(Referensi!$J$5:$J$30,MATCH(D146,Referensi!$I$5:$I$30,0)),"?"))</f>
        <v/>
      </c>
      <c r="G146" s="38" t="n"/>
      <c r="H146" s="38" t="n"/>
      <c r="I146" s="38" t="n"/>
      <c r="J146" s="38" t="n"/>
    </row>
    <row r="147" ht="15" customHeight="1" s="33">
      <c r="A147" s="57">
        <f>IF(B147="","",ROW()-4)</f>
        <v/>
      </c>
      <c r="B147" s="58" t="n"/>
      <c r="C147" s="38" t="n"/>
      <c r="D147" s="38" t="n"/>
      <c r="E147" s="41" t="n"/>
      <c r="F147" s="57">
        <f>IF(D147="","",IFERROR(INDEX(Referensi!$J$5:$J$30,MATCH(D147,Referensi!$I$5:$I$30,0)),"?"))</f>
        <v/>
      </c>
      <c r="G147" s="38" t="n"/>
      <c r="H147" s="38" t="n"/>
      <c r="I147" s="38" t="n"/>
      <c r="J147" s="38" t="n"/>
    </row>
    <row r="148" ht="15" customHeight="1" s="33">
      <c r="A148" s="57">
        <f>IF(B148="","",ROW()-4)</f>
        <v/>
      </c>
      <c r="B148" s="58" t="n"/>
      <c r="C148" s="38" t="n"/>
      <c r="D148" s="38" t="n"/>
      <c r="E148" s="41" t="n"/>
      <c r="F148" s="57">
        <f>IF(D148="","",IFERROR(INDEX(Referensi!$J$5:$J$30,MATCH(D148,Referensi!$I$5:$I$30,0)),"?"))</f>
        <v/>
      </c>
      <c r="G148" s="38" t="n"/>
      <c r="H148" s="38" t="n"/>
      <c r="I148" s="38" t="n"/>
      <c r="J148" s="38" t="n"/>
    </row>
    <row r="149" ht="15" customHeight="1" s="33">
      <c r="A149" s="57">
        <f>IF(B149="","",ROW()-4)</f>
        <v/>
      </c>
      <c r="B149" s="58" t="n"/>
      <c r="C149" s="38" t="n"/>
      <c r="D149" s="38" t="n"/>
      <c r="E149" s="41" t="n"/>
      <c r="F149" s="57">
        <f>IF(D149="","",IFERROR(INDEX(Referensi!$J$5:$J$30,MATCH(D149,Referensi!$I$5:$I$30,0)),"?"))</f>
        <v/>
      </c>
      <c r="G149" s="38" t="n"/>
      <c r="H149" s="38" t="n"/>
      <c r="I149" s="38" t="n"/>
      <c r="J149" s="38" t="n"/>
    </row>
    <row r="150" ht="15" customHeight="1" s="33">
      <c r="A150" s="57">
        <f>IF(B150="","",ROW()-4)</f>
        <v/>
      </c>
      <c r="B150" s="58" t="n"/>
      <c r="C150" s="38" t="n"/>
      <c r="D150" s="38" t="n"/>
      <c r="E150" s="41" t="n"/>
      <c r="F150" s="57">
        <f>IF(D150="","",IFERROR(INDEX(Referensi!$J$5:$J$30,MATCH(D150,Referensi!$I$5:$I$30,0)),"?"))</f>
        <v/>
      </c>
      <c r="G150" s="38" t="n"/>
      <c r="H150" s="38" t="n"/>
      <c r="I150" s="38" t="n"/>
      <c r="J150" s="38" t="n"/>
    </row>
    <row r="151" ht="15" customHeight="1" s="33">
      <c r="A151" s="57">
        <f>IF(B151="","",ROW()-4)</f>
        <v/>
      </c>
      <c r="B151" s="58" t="n"/>
      <c r="C151" s="38" t="n"/>
      <c r="D151" s="38" t="n"/>
      <c r="E151" s="41" t="n"/>
      <c r="F151" s="57">
        <f>IF(D151="","",IFERROR(INDEX(Referensi!$J$5:$J$30,MATCH(D151,Referensi!$I$5:$I$30,0)),"?"))</f>
        <v/>
      </c>
      <c r="G151" s="38" t="n"/>
      <c r="H151" s="38" t="n"/>
      <c r="I151" s="38" t="n"/>
      <c r="J151" s="38" t="n"/>
    </row>
    <row r="152" ht="15" customHeight="1" s="33">
      <c r="A152" s="57">
        <f>IF(B152="","",ROW()-4)</f>
        <v/>
      </c>
      <c r="B152" s="58" t="n"/>
      <c r="C152" s="38" t="n"/>
      <c r="D152" s="38" t="n"/>
      <c r="E152" s="41" t="n"/>
      <c r="F152" s="57">
        <f>IF(D152="","",IFERROR(INDEX(Referensi!$J$5:$J$30,MATCH(D152,Referensi!$I$5:$I$30,0)),"?"))</f>
        <v/>
      </c>
      <c r="G152" s="38" t="n"/>
      <c r="H152" s="38" t="n"/>
      <c r="I152" s="38" t="n"/>
      <c r="J152" s="38" t="n"/>
    </row>
    <row r="153" ht="15" customHeight="1" s="33">
      <c r="A153" s="57">
        <f>IF(B153="","",ROW()-4)</f>
        <v/>
      </c>
      <c r="B153" s="58" t="n"/>
      <c r="C153" s="38" t="n"/>
      <c r="D153" s="38" t="n"/>
      <c r="E153" s="41" t="n"/>
      <c r="F153" s="57">
        <f>IF(D153="","",IFERROR(INDEX(Referensi!$J$5:$J$30,MATCH(D153,Referensi!$I$5:$I$30,0)),"?"))</f>
        <v/>
      </c>
      <c r="G153" s="38" t="n"/>
      <c r="H153" s="38" t="n"/>
      <c r="I153" s="38" t="n"/>
      <c r="J153" s="38" t="n"/>
    </row>
    <row r="154" ht="15" customHeight="1" s="33">
      <c r="A154" s="57">
        <f>IF(B154="","",ROW()-4)</f>
        <v/>
      </c>
      <c r="B154" s="58" t="n"/>
      <c r="C154" s="38" t="n"/>
      <c r="D154" s="38" t="n"/>
      <c r="E154" s="41" t="n"/>
      <c r="F154" s="57">
        <f>IF(D154="","",IFERROR(INDEX(Referensi!$J$5:$J$30,MATCH(D154,Referensi!$I$5:$I$30,0)),"?"))</f>
        <v/>
      </c>
      <c r="G154" s="38" t="n"/>
      <c r="H154" s="38" t="n"/>
      <c r="I154" s="38" t="n"/>
      <c r="J154" s="38" t="n"/>
    </row>
    <row r="155" ht="15" customHeight="1" s="33">
      <c r="A155" s="57">
        <f>IF(B155="","",ROW()-4)</f>
        <v/>
      </c>
      <c r="B155" s="58" t="n"/>
      <c r="C155" s="38" t="n"/>
      <c r="D155" s="38" t="n"/>
      <c r="E155" s="41" t="n"/>
      <c r="F155" s="57">
        <f>IF(D155="","",IFERROR(INDEX(Referensi!$J$5:$J$30,MATCH(D155,Referensi!$I$5:$I$30,0)),"?"))</f>
        <v/>
      </c>
      <c r="G155" s="38" t="n"/>
      <c r="H155" s="38" t="n"/>
      <c r="I155" s="38" t="n"/>
      <c r="J155" s="38" t="n"/>
    </row>
    <row r="156" ht="15" customHeight="1" s="33">
      <c r="A156" s="57">
        <f>IF(B156="","",ROW()-4)</f>
        <v/>
      </c>
      <c r="B156" s="58" t="n"/>
      <c r="C156" s="38" t="n"/>
      <c r="D156" s="38" t="n"/>
      <c r="E156" s="41" t="n"/>
      <c r="F156" s="57">
        <f>IF(D156="","",IFERROR(INDEX(Referensi!$J$5:$J$30,MATCH(D156,Referensi!$I$5:$I$30,0)),"?"))</f>
        <v/>
      </c>
      <c r="G156" s="38" t="n"/>
      <c r="H156" s="38" t="n"/>
      <c r="I156" s="38" t="n"/>
      <c r="J156" s="38" t="n"/>
    </row>
    <row r="157" ht="15" customHeight="1" s="33">
      <c r="A157" s="57">
        <f>IF(B157="","",ROW()-4)</f>
        <v/>
      </c>
      <c r="B157" s="58" t="n"/>
      <c r="C157" s="38" t="n"/>
      <c r="D157" s="38" t="n"/>
      <c r="E157" s="41" t="n"/>
      <c r="F157" s="57">
        <f>IF(D157="","",IFERROR(INDEX(Referensi!$J$5:$J$30,MATCH(D157,Referensi!$I$5:$I$30,0)),"?"))</f>
        <v/>
      </c>
      <c r="G157" s="38" t="n"/>
      <c r="H157" s="38" t="n"/>
      <c r="I157" s="38" t="n"/>
      <c r="J157" s="38" t="n"/>
    </row>
    <row r="158" ht="15" customHeight="1" s="33">
      <c r="A158" s="57">
        <f>IF(B158="","",ROW()-4)</f>
        <v/>
      </c>
      <c r="B158" s="58" t="n"/>
      <c r="C158" s="38" t="n"/>
      <c r="D158" s="38" t="n"/>
      <c r="E158" s="41" t="n"/>
      <c r="F158" s="57">
        <f>IF(D158="","",IFERROR(INDEX(Referensi!$J$5:$J$30,MATCH(D158,Referensi!$I$5:$I$30,0)),"?"))</f>
        <v/>
      </c>
      <c r="G158" s="38" t="n"/>
      <c r="H158" s="38" t="n"/>
      <c r="I158" s="38" t="n"/>
      <c r="J158" s="38" t="n"/>
    </row>
    <row r="159" ht="15" customHeight="1" s="33">
      <c r="A159" s="57">
        <f>IF(B159="","",ROW()-4)</f>
        <v/>
      </c>
      <c r="B159" s="58" t="n"/>
      <c r="C159" s="38" t="n"/>
      <c r="D159" s="38" t="n"/>
      <c r="E159" s="41" t="n"/>
      <c r="F159" s="57">
        <f>IF(D159="","",IFERROR(INDEX(Referensi!$J$5:$J$30,MATCH(D159,Referensi!$I$5:$I$30,0)),"?"))</f>
        <v/>
      </c>
      <c r="G159" s="38" t="n"/>
      <c r="H159" s="38" t="n"/>
      <c r="I159" s="38" t="n"/>
      <c r="J159" s="38" t="n"/>
    </row>
    <row r="160" ht="15" customHeight="1" s="33">
      <c r="A160" s="57">
        <f>IF(B160="","",ROW()-4)</f>
        <v/>
      </c>
      <c r="B160" s="58" t="n"/>
      <c r="C160" s="38" t="n"/>
      <c r="D160" s="38" t="n"/>
      <c r="E160" s="41" t="n"/>
      <c r="F160" s="57">
        <f>IF(D160="","",IFERROR(INDEX(Referensi!$J$5:$J$30,MATCH(D160,Referensi!$I$5:$I$30,0)),"?"))</f>
        <v/>
      </c>
      <c r="G160" s="38" t="n"/>
      <c r="H160" s="38" t="n"/>
      <c r="I160" s="38" t="n"/>
      <c r="J160" s="38" t="n"/>
    </row>
    <row r="161" ht="15" customHeight="1" s="33">
      <c r="A161" s="57">
        <f>IF(B161="","",ROW()-4)</f>
        <v/>
      </c>
      <c r="B161" s="58" t="n"/>
      <c r="C161" s="38" t="n"/>
      <c r="D161" s="38" t="n"/>
      <c r="E161" s="41" t="n"/>
      <c r="F161" s="57">
        <f>IF(D161="","",IFERROR(INDEX(Referensi!$J$5:$J$30,MATCH(D161,Referensi!$I$5:$I$30,0)),"?"))</f>
        <v/>
      </c>
      <c r="G161" s="38" t="n"/>
      <c r="H161" s="38" t="n"/>
      <c r="I161" s="38" t="n"/>
      <c r="J161" s="38" t="n"/>
    </row>
    <row r="162" ht="15" customHeight="1" s="33">
      <c r="A162" s="57">
        <f>IF(B162="","",ROW()-4)</f>
        <v/>
      </c>
      <c r="B162" s="58" t="n"/>
      <c r="C162" s="38" t="n"/>
      <c r="D162" s="38" t="n"/>
      <c r="E162" s="41" t="n"/>
      <c r="F162" s="57">
        <f>IF(D162="","",IFERROR(INDEX(Referensi!$J$5:$J$30,MATCH(D162,Referensi!$I$5:$I$30,0)),"?"))</f>
        <v/>
      </c>
      <c r="G162" s="38" t="n"/>
      <c r="H162" s="38" t="n"/>
      <c r="I162" s="38" t="n"/>
      <c r="J162" s="38" t="n"/>
    </row>
    <row r="163" ht="15" customHeight="1" s="33">
      <c r="A163" s="57">
        <f>IF(B163="","",ROW()-4)</f>
        <v/>
      </c>
      <c r="B163" s="58" t="n"/>
      <c r="C163" s="38" t="n"/>
      <c r="D163" s="38" t="n"/>
      <c r="E163" s="41" t="n"/>
      <c r="F163" s="57">
        <f>IF(D163="","",IFERROR(INDEX(Referensi!$J$5:$J$30,MATCH(D163,Referensi!$I$5:$I$30,0)),"?"))</f>
        <v/>
      </c>
      <c r="G163" s="38" t="n"/>
      <c r="H163" s="38" t="n"/>
      <c r="I163" s="38" t="n"/>
      <c r="J163" s="38" t="n"/>
    </row>
    <row r="164" ht="15" customHeight="1" s="33">
      <c r="A164" s="57">
        <f>IF(B164="","",ROW()-4)</f>
        <v/>
      </c>
      <c r="B164" s="58" t="n"/>
      <c r="C164" s="38" t="n"/>
      <c r="D164" s="38" t="n"/>
      <c r="E164" s="41" t="n"/>
      <c r="F164" s="57">
        <f>IF(D164="","",IFERROR(INDEX(Referensi!$J$5:$J$30,MATCH(D164,Referensi!$I$5:$I$30,0)),"?"))</f>
        <v/>
      </c>
      <c r="G164" s="38" t="n"/>
      <c r="H164" s="38" t="n"/>
      <c r="I164" s="38" t="n"/>
      <c r="J164" s="38" t="n"/>
    </row>
    <row r="165" ht="15" customHeight="1" s="33">
      <c r="A165" s="57">
        <f>IF(B165="","",ROW()-4)</f>
        <v/>
      </c>
      <c r="B165" s="58" t="n"/>
      <c r="C165" s="38" t="n"/>
      <c r="D165" s="38" t="n"/>
      <c r="E165" s="41" t="n"/>
      <c r="F165" s="57">
        <f>IF(D165="","",IFERROR(INDEX(Referensi!$J$5:$J$30,MATCH(D165,Referensi!$I$5:$I$30,0)),"?"))</f>
        <v/>
      </c>
      <c r="G165" s="38" t="n"/>
      <c r="H165" s="38" t="n"/>
      <c r="I165" s="38" t="n"/>
      <c r="J165" s="38" t="n"/>
    </row>
    <row r="166" ht="15" customHeight="1" s="33">
      <c r="A166" s="57">
        <f>IF(B166="","",ROW()-4)</f>
        <v/>
      </c>
      <c r="B166" s="58" t="n"/>
      <c r="C166" s="38" t="n"/>
      <c r="D166" s="38" t="n"/>
      <c r="E166" s="41" t="n"/>
      <c r="F166" s="57">
        <f>IF(D166="","",IFERROR(INDEX(Referensi!$J$5:$J$30,MATCH(D166,Referensi!$I$5:$I$30,0)),"?"))</f>
        <v/>
      </c>
      <c r="G166" s="38" t="n"/>
      <c r="H166" s="38" t="n"/>
      <c r="I166" s="38" t="n"/>
      <c r="J166" s="38" t="n"/>
    </row>
    <row r="167" ht="15" customHeight="1" s="33">
      <c r="A167" s="57">
        <f>IF(B167="","",ROW()-4)</f>
        <v/>
      </c>
      <c r="B167" s="58" t="n"/>
      <c r="C167" s="38" t="n"/>
      <c r="D167" s="38" t="n"/>
      <c r="E167" s="41" t="n"/>
      <c r="F167" s="57">
        <f>IF(D167="","",IFERROR(INDEX(Referensi!$J$5:$J$30,MATCH(D167,Referensi!$I$5:$I$30,0)),"?"))</f>
        <v/>
      </c>
      <c r="G167" s="38" t="n"/>
      <c r="H167" s="38" t="n"/>
      <c r="I167" s="38" t="n"/>
      <c r="J167" s="38" t="n"/>
    </row>
    <row r="168" ht="15" customHeight="1" s="33">
      <c r="A168" s="57">
        <f>IF(B168="","",ROW()-4)</f>
        <v/>
      </c>
      <c r="B168" s="58" t="n"/>
      <c r="C168" s="38" t="n"/>
      <c r="D168" s="38" t="n"/>
      <c r="E168" s="41" t="n"/>
      <c r="F168" s="57">
        <f>IF(D168="","",IFERROR(INDEX(Referensi!$J$5:$J$30,MATCH(D168,Referensi!$I$5:$I$30,0)),"?"))</f>
        <v/>
      </c>
      <c r="G168" s="38" t="n"/>
      <c r="H168" s="38" t="n"/>
      <c r="I168" s="38" t="n"/>
      <c r="J168" s="38" t="n"/>
    </row>
    <row r="169" ht="15" customHeight="1" s="33">
      <c r="A169" s="57">
        <f>IF(B169="","",ROW()-4)</f>
        <v/>
      </c>
      <c r="B169" s="58" t="n"/>
      <c r="C169" s="38" t="n"/>
      <c r="D169" s="38" t="n"/>
      <c r="E169" s="41" t="n"/>
      <c r="F169" s="57">
        <f>IF(D169="","",IFERROR(INDEX(Referensi!$J$5:$J$30,MATCH(D169,Referensi!$I$5:$I$30,0)),"?"))</f>
        <v/>
      </c>
      <c r="G169" s="38" t="n"/>
      <c r="H169" s="38" t="n"/>
      <c r="I169" s="38" t="n"/>
      <c r="J169" s="38" t="n"/>
    </row>
    <row r="170" ht="15" customHeight="1" s="33">
      <c r="A170" s="57">
        <f>IF(B170="","",ROW()-4)</f>
        <v/>
      </c>
      <c r="B170" s="58" t="n"/>
      <c r="C170" s="38" t="n"/>
      <c r="D170" s="38" t="n"/>
      <c r="E170" s="41" t="n"/>
      <c r="F170" s="57">
        <f>IF(D170="","",IFERROR(INDEX(Referensi!$J$5:$J$30,MATCH(D170,Referensi!$I$5:$I$30,0)),"?"))</f>
        <v/>
      </c>
      <c r="G170" s="38" t="n"/>
      <c r="H170" s="38" t="n"/>
      <c r="I170" s="38" t="n"/>
      <c r="J170" s="38" t="n"/>
    </row>
    <row r="171" ht="15" customHeight="1" s="33">
      <c r="A171" s="57">
        <f>IF(B171="","",ROW()-4)</f>
        <v/>
      </c>
      <c r="B171" s="58" t="n"/>
      <c r="C171" s="38" t="n"/>
      <c r="D171" s="38" t="n"/>
      <c r="E171" s="41" t="n"/>
      <c r="F171" s="57">
        <f>IF(D171="","",IFERROR(INDEX(Referensi!$J$5:$J$30,MATCH(D171,Referensi!$I$5:$I$30,0)),"?"))</f>
        <v/>
      </c>
      <c r="G171" s="38" t="n"/>
      <c r="H171" s="38" t="n"/>
      <c r="I171" s="38" t="n"/>
      <c r="J171" s="38" t="n"/>
    </row>
    <row r="172" ht="15" customHeight="1" s="33">
      <c r="A172" s="57">
        <f>IF(B172="","",ROW()-4)</f>
        <v/>
      </c>
      <c r="B172" s="58" t="n"/>
      <c r="C172" s="38" t="n"/>
      <c r="D172" s="38" t="n"/>
      <c r="E172" s="41" t="n"/>
      <c r="F172" s="57">
        <f>IF(D172="","",IFERROR(INDEX(Referensi!$J$5:$J$30,MATCH(D172,Referensi!$I$5:$I$30,0)),"?"))</f>
        <v/>
      </c>
      <c r="G172" s="38" t="n"/>
      <c r="H172" s="38" t="n"/>
      <c r="I172" s="38" t="n"/>
      <c r="J172" s="38" t="n"/>
    </row>
    <row r="173" ht="15" customHeight="1" s="33">
      <c r="A173" s="57">
        <f>IF(B173="","",ROW()-4)</f>
        <v/>
      </c>
      <c r="B173" s="58" t="n"/>
      <c r="C173" s="38" t="n"/>
      <c r="D173" s="38" t="n"/>
      <c r="E173" s="41" t="n"/>
      <c r="F173" s="57">
        <f>IF(D173="","",IFERROR(INDEX(Referensi!$J$5:$J$30,MATCH(D173,Referensi!$I$5:$I$30,0)),"?"))</f>
        <v/>
      </c>
      <c r="G173" s="38" t="n"/>
      <c r="H173" s="38" t="n"/>
      <c r="I173" s="38" t="n"/>
      <c r="J173" s="38" t="n"/>
    </row>
    <row r="174" ht="15" customHeight="1" s="33">
      <c r="A174" s="57">
        <f>IF(B174="","",ROW()-4)</f>
        <v/>
      </c>
      <c r="B174" s="58" t="n"/>
      <c r="C174" s="38" t="n"/>
      <c r="D174" s="38" t="n"/>
      <c r="E174" s="41" t="n"/>
      <c r="F174" s="57">
        <f>IF(D174="","",IFERROR(INDEX(Referensi!$J$5:$J$30,MATCH(D174,Referensi!$I$5:$I$30,0)),"?"))</f>
        <v/>
      </c>
      <c r="G174" s="38" t="n"/>
      <c r="H174" s="38" t="n"/>
      <c r="I174" s="38" t="n"/>
      <c r="J174" s="38" t="n"/>
    </row>
    <row r="175" ht="15" customHeight="1" s="33">
      <c r="A175" s="57">
        <f>IF(B175="","",ROW()-4)</f>
        <v/>
      </c>
      <c r="B175" s="58" t="n"/>
      <c r="C175" s="38" t="n"/>
      <c r="D175" s="38" t="n"/>
      <c r="E175" s="41" t="n"/>
      <c r="F175" s="57">
        <f>IF(D175="","",IFERROR(INDEX(Referensi!$J$5:$J$30,MATCH(D175,Referensi!$I$5:$I$30,0)),"?"))</f>
        <v/>
      </c>
      <c r="G175" s="38" t="n"/>
      <c r="H175" s="38" t="n"/>
      <c r="I175" s="38" t="n"/>
      <c r="J175" s="38" t="n"/>
    </row>
    <row r="176" ht="15" customHeight="1" s="33">
      <c r="A176" s="57">
        <f>IF(B176="","",ROW()-4)</f>
        <v/>
      </c>
      <c r="B176" s="58" t="n"/>
      <c r="C176" s="38" t="n"/>
      <c r="D176" s="38" t="n"/>
      <c r="E176" s="41" t="n"/>
      <c r="F176" s="57">
        <f>IF(D176="","",IFERROR(INDEX(Referensi!$J$5:$J$30,MATCH(D176,Referensi!$I$5:$I$30,0)),"?"))</f>
        <v/>
      </c>
      <c r="G176" s="38" t="n"/>
      <c r="H176" s="38" t="n"/>
      <c r="I176" s="38" t="n"/>
      <c r="J176" s="38" t="n"/>
    </row>
    <row r="177" ht="15" customHeight="1" s="33">
      <c r="A177" s="57">
        <f>IF(B177="","",ROW()-4)</f>
        <v/>
      </c>
      <c r="B177" s="58" t="n"/>
      <c r="C177" s="38" t="n"/>
      <c r="D177" s="38" t="n"/>
      <c r="E177" s="41" t="n"/>
      <c r="F177" s="57">
        <f>IF(D177="","",IFERROR(INDEX(Referensi!$J$5:$J$30,MATCH(D177,Referensi!$I$5:$I$30,0)),"?"))</f>
        <v/>
      </c>
      <c r="G177" s="38" t="n"/>
      <c r="H177" s="38" t="n"/>
      <c r="I177" s="38" t="n"/>
      <c r="J177" s="38" t="n"/>
    </row>
    <row r="178" ht="15" customHeight="1" s="33">
      <c r="A178" s="57">
        <f>IF(B178="","",ROW()-4)</f>
        <v/>
      </c>
      <c r="B178" s="58" t="n"/>
      <c r="C178" s="38" t="n"/>
      <c r="D178" s="38" t="n"/>
      <c r="E178" s="41" t="n"/>
      <c r="F178" s="57">
        <f>IF(D178="","",IFERROR(INDEX(Referensi!$J$5:$J$30,MATCH(D178,Referensi!$I$5:$I$30,0)),"?"))</f>
        <v/>
      </c>
      <c r="G178" s="38" t="n"/>
      <c r="H178" s="38" t="n"/>
      <c r="I178" s="38" t="n"/>
      <c r="J178" s="38" t="n"/>
    </row>
    <row r="179" ht="15" customHeight="1" s="33">
      <c r="A179" s="57">
        <f>IF(B179="","",ROW()-4)</f>
        <v/>
      </c>
      <c r="B179" s="58" t="n"/>
      <c r="C179" s="38" t="n"/>
      <c r="D179" s="38" t="n"/>
      <c r="E179" s="41" t="n"/>
      <c r="F179" s="57">
        <f>IF(D179="","",IFERROR(INDEX(Referensi!$J$5:$J$30,MATCH(D179,Referensi!$I$5:$I$30,0)),"?"))</f>
        <v/>
      </c>
      <c r="G179" s="38" t="n"/>
      <c r="H179" s="38" t="n"/>
      <c r="I179" s="38" t="n"/>
      <c r="J179" s="38" t="n"/>
    </row>
    <row r="180" ht="15" customHeight="1" s="33">
      <c r="A180" s="57">
        <f>IF(B180="","",ROW()-4)</f>
        <v/>
      </c>
      <c r="B180" s="58" t="n"/>
      <c r="C180" s="38" t="n"/>
      <c r="D180" s="38" t="n"/>
      <c r="E180" s="41" t="n"/>
      <c r="F180" s="57">
        <f>IF(D180="","",IFERROR(INDEX(Referensi!$J$5:$J$30,MATCH(D180,Referensi!$I$5:$I$30,0)),"?"))</f>
        <v/>
      </c>
      <c r="G180" s="38" t="n"/>
      <c r="H180" s="38" t="n"/>
      <c r="I180" s="38" t="n"/>
      <c r="J180" s="38" t="n"/>
    </row>
    <row r="181" ht="15" customHeight="1" s="33">
      <c r="A181" s="57">
        <f>IF(B181="","",ROW()-4)</f>
        <v/>
      </c>
      <c r="B181" s="58" t="n"/>
      <c r="C181" s="38" t="n"/>
      <c r="D181" s="38" t="n"/>
      <c r="E181" s="41" t="n"/>
      <c r="F181" s="57">
        <f>IF(D181="","",IFERROR(INDEX(Referensi!$J$5:$J$30,MATCH(D181,Referensi!$I$5:$I$30,0)),"?"))</f>
        <v/>
      </c>
      <c r="G181" s="38" t="n"/>
      <c r="H181" s="38" t="n"/>
      <c r="I181" s="38" t="n"/>
      <c r="J181" s="38" t="n"/>
    </row>
    <row r="182" ht="15" customHeight="1" s="33">
      <c r="A182" s="57">
        <f>IF(B182="","",ROW()-4)</f>
        <v/>
      </c>
      <c r="B182" s="58" t="n"/>
      <c r="C182" s="38" t="n"/>
      <c r="D182" s="38" t="n"/>
      <c r="E182" s="41" t="n"/>
      <c r="F182" s="57">
        <f>IF(D182="","",IFERROR(INDEX(Referensi!$J$5:$J$30,MATCH(D182,Referensi!$I$5:$I$30,0)),"?"))</f>
        <v/>
      </c>
      <c r="G182" s="38" t="n"/>
      <c r="H182" s="38" t="n"/>
      <c r="I182" s="38" t="n"/>
      <c r="J182" s="38" t="n"/>
    </row>
    <row r="183" ht="15" customHeight="1" s="33">
      <c r="A183" s="57">
        <f>IF(B183="","",ROW()-4)</f>
        <v/>
      </c>
      <c r="B183" s="58" t="n"/>
      <c r="C183" s="38" t="n"/>
      <c r="D183" s="38" t="n"/>
      <c r="E183" s="41" t="n"/>
      <c r="F183" s="57">
        <f>IF(D183="","",IFERROR(INDEX(Referensi!$J$5:$J$30,MATCH(D183,Referensi!$I$5:$I$30,0)),"?"))</f>
        <v/>
      </c>
      <c r="G183" s="38" t="n"/>
      <c r="H183" s="38" t="n"/>
      <c r="I183" s="38" t="n"/>
      <c r="J183" s="38" t="n"/>
    </row>
    <row r="184" ht="15" customHeight="1" s="33">
      <c r="A184" s="57">
        <f>IF(B184="","",ROW()-4)</f>
        <v/>
      </c>
      <c r="B184" s="58" t="n"/>
      <c r="C184" s="38" t="n"/>
      <c r="D184" s="38" t="n"/>
      <c r="E184" s="41" t="n"/>
      <c r="F184" s="57">
        <f>IF(D184="","",IFERROR(INDEX(Referensi!$J$5:$J$30,MATCH(D184,Referensi!$I$5:$I$30,0)),"?"))</f>
        <v/>
      </c>
      <c r="G184" s="38" t="n"/>
      <c r="H184" s="38" t="n"/>
      <c r="I184" s="38" t="n"/>
      <c r="J184" s="38" t="n"/>
    </row>
    <row r="185" ht="15" customHeight="1" s="33">
      <c r="A185" s="57">
        <f>IF(B185="","",ROW()-4)</f>
        <v/>
      </c>
      <c r="B185" s="58" t="n"/>
      <c r="C185" s="38" t="n"/>
      <c r="D185" s="38" t="n"/>
      <c r="E185" s="41" t="n"/>
      <c r="F185" s="57">
        <f>IF(D185="","",IFERROR(INDEX(Referensi!$J$5:$J$30,MATCH(D185,Referensi!$I$5:$I$30,0)),"?"))</f>
        <v/>
      </c>
      <c r="G185" s="38" t="n"/>
      <c r="H185" s="38" t="n"/>
      <c r="I185" s="38" t="n"/>
      <c r="J185" s="38" t="n"/>
    </row>
    <row r="186" ht="15" customHeight="1" s="33">
      <c r="A186" s="57">
        <f>IF(B186="","",ROW()-4)</f>
        <v/>
      </c>
      <c r="B186" s="58" t="n"/>
      <c r="C186" s="38" t="n"/>
      <c r="D186" s="38" t="n"/>
      <c r="E186" s="41" t="n"/>
      <c r="F186" s="57">
        <f>IF(D186="","",IFERROR(INDEX(Referensi!$J$5:$J$30,MATCH(D186,Referensi!$I$5:$I$30,0)),"?"))</f>
        <v/>
      </c>
      <c r="G186" s="38" t="n"/>
      <c r="H186" s="38" t="n"/>
      <c r="I186" s="38" t="n"/>
      <c r="J186" s="38" t="n"/>
    </row>
    <row r="187" ht="15" customHeight="1" s="33">
      <c r="A187" s="57">
        <f>IF(B187="","",ROW()-4)</f>
        <v/>
      </c>
      <c r="B187" s="58" t="n"/>
      <c r="C187" s="38" t="n"/>
      <c r="D187" s="38" t="n"/>
      <c r="E187" s="41" t="n"/>
      <c r="F187" s="57">
        <f>IF(D187="","",IFERROR(INDEX(Referensi!$J$5:$J$30,MATCH(D187,Referensi!$I$5:$I$30,0)),"?"))</f>
        <v/>
      </c>
      <c r="G187" s="38" t="n"/>
      <c r="H187" s="38" t="n"/>
      <c r="I187" s="38" t="n"/>
      <c r="J187" s="38" t="n"/>
    </row>
    <row r="188" ht="15" customHeight="1" s="33">
      <c r="A188" s="57">
        <f>IF(B188="","",ROW()-4)</f>
        <v/>
      </c>
      <c r="B188" s="58" t="n"/>
      <c r="C188" s="38" t="n"/>
      <c r="D188" s="38" t="n"/>
      <c r="E188" s="41" t="n"/>
      <c r="F188" s="57">
        <f>IF(D188="","",IFERROR(INDEX(Referensi!$J$5:$J$30,MATCH(D188,Referensi!$I$5:$I$30,0)),"?"))</f>
        <v/>
      </c>
      <c r="G188" s="38" t="n"/>
      <c r="H188" s="38" t="n"/>
      <c r="I188" s="38" t="n"/>
      <c r="J188" s="38" t="n"/>
    </row>
    <row r="189" ht="15" customHeight="1" s="33">
      <c r="A189" s="57">
        <f>IF(B189="","",ROW()-4)</f>
        <v/>
      </c>
      <c r="B189" s="58" t="n"/>
      <c r="C189" s="38" t="n"/>
      <c r="D189" s="38" t="n"/>
      <c r="E189" s="41" t="n"/>
      <c r="F189" s="57">
        <f>IF(D189="","",IFERROR(INDEX(Referensi!$J$5:$J$30,MATCH(D189,Referensi!$I$5:$I$30,0)),"?"))</f>
        <v/>
      </c>
      <c r="G189" s="38" t="n"/>
      <c r="H189" s="38" t="n"/>
      <c r="I189" s="38" t="n"/>
      <c r="J189" s="38" t="n"/>
    </row>
    <row r="190" ht="15" customHeight="1" s="33">
      <c r="A190" s="57">
        <f>IF(B190="","",ROW()-4)</f>
        <v/>
      </c>
      <c r="B190" s="58" t="n"/>
      <c r="C190" s="38" t="n"/>
      <c r="D190" s="38" t="n"/>
      <c r="E190" s="41" t="n"/>
      <c r="F190" s="57">
        <f>IF(D190="","",IFERROR(INDEX(Referensi!$J$5:$J$30,MATCH(D190,Referensi!$I$5:$I$30,0)),"?"))</f>
        <v/>
      </c>
      <c r="G190" s="38" t="n"/>
      <c r="H190" s="38" t="n"/>
      <c r="I190" s="38" t="n"/>
      <c r="J190" s="38" t="n"/>
    </row>
    <row r="191" ht="15" customHeight="1" s="33">
      <c r="A191" s="57">
        <f>IF(B191="","",ROW()-4)</f>
        <v/>
      </c>
      <c r="B191" s="58" t="n"/>
      <c r="C191" s="38" t="n"/>
      <c r="D191" s="38" t="n"/>
      <c r="E191" s="41" t="n"/>
      <c r="F191" s="57">
        <f>IF(D191="","",IFERROR(INDEX(Referensi!$J$5:$J$30,MATCH(D191,Referensi!$I$5:$I$30,0)),"?"))</f>
        <v/>
      </c>
      <c r="G191" s="38" t="n"/>
      <c r="H191" s="38" t="n"/>
      <c r="I191" s="38" t="n"/>
      <c r="J191" s="38" t="n"/>
    </row>
    <row r="192" ht="15" customHeight="1" s="33">
      <c r="A192" s="57">
        <f>IF(B192="","",ROW()-4)</f>
        <v/>
      </c>
      <c r="B192" s="58" t="n"/>
      <c r="C192" s="38" t="n"/>
      <c r="D192" s="38" t="n"/>
      <c r="E192" s="41" t="n"/>
      <c r="F192" s="57">
        <f>IF(D192="","",IFERROR(INDEX(Referensi!$J$5:$J$30,MATCH(D192,Referensi!$I$5:$I$30,0)),"?"))</f>
        <v/>
      </c>
      <c r="G192" s="38" t="n"/>
      <c r="H192" s="38" t="n"/>
      <c r="I192" s="38" t="n"/>
      <c r="J192" s="38" t="n"/>
    </row>
    <row r="193" ht="15" customHeight="1" s="33">
      <c r="A193" s="57">
        <f>IF(B193="","",ROW()-4)</f>
        <v/>
      </c>
      <c r="B193" s="58" t="n"/>
      <c r="C193" s="38" t="n"/>
      <c r="D193" s="38" t="n"/>
      <c r="E193" s="41" t="n"/>
      <c r="F193" s="57">
        <f>IF(D193="","",IFERROR(INDEX(Referensi!$J$5:$J$30,MATCH(D193,Referensi!$I$5:$I$30,0)),"?"))</f>
        <v/>
      </c>
      <c r="G193" s="38" t="n"/>
      <c r="H193" s="38" t="n"/>
      <c r="I193" s="38" t="n"/>
      <c r="J193" s="38" t="n"/>
    </row>
    <row r="194" ht="15" customHeight="1" s="33">
      <c r="A194" s="57">
        <f>IF(B194="","",ROW()-4)</f>
        <v/>
      </c>
      <c r="B194" s="58" t="n"/>
      <c r="C194" s="38" t="n"/>
      <c r="D194" s="38" t="n"/>
      <c r="E194" s="41" t="n"/>
      <c r="F194" s="57">
        <f>IF(D194="","",IFERROR(INDEX(Referensi!$J$5:$J$30,MATCH(D194,Referensi!$I$5:$I$30,0)),"?"))</f>
        <v/>
      </c>
      <c r="G194" s="38" t="n"/>
      <c r="H194" s="38" t="n"/>
      <c r="I194" s="38" t="n"/>
      <c r="J194" s="38" t="n"/>
    </row>
    <row r="195" ht="15" customHeight="1" s="33">
      <c r="A195" s="57">
        <f>IF(B195="","",ROW()-4)</f>
        <v/>
      </c>
      <c r="B195" s="58" t="n"/>
      <c r="C195" s="38" t="n"/>
      <c r="D195" s="38" t="n"/>
      <c r="E195" s="41" t="n"/>
      <c r="F195" s="57">
        <f>IF(D195="","",IFERROR(INDEX(Referensi!$J$5:$J$30,MATCH(D195,Referensi!$I$5:$I$30,0)),"?"))</f>
        <v/>
      </c>
      <c r="G195" s="38" t="n"/>
      <c r="H195" s="38" t="n"/>
      <c r="I195" s="38" t="n"/>
      <c r="J195" s="38" t="n"/>
    </row>
    <row r="196" ht="15" customHeight="1" s="33">
      <c r="A196" s="57">
        <f>IF(B196="","",ROW()-4)</f>
        <v/>
      </c>
      <c r="B196" s="58" t="n"/>
      <c r="C196" s="38" t="n"/>
      <c r="D196" s="38" t="n"/>
      <c r="E196" s="41" t="n"/>
      <c r="F196" s="57">
        <f>IF(D196="","",IFERROR(INDEX(Referensi!$J$5:$J$30,MATCH(D196,Referensi!$I$5:$I$30,0)),"?"))</f>
        <v/>
      </c>
      <c r="G196" s="38" t="n"/>
      <c r="H196" s="38" t="n"/>
      <c r="I196" s="38" t="n"/>
      <c r="J196" s="38" t="n"/>
    </row>
    <row r="197" ht="15" customHeight="1" s="33">
      <c r="A197" s="57">
        <f>IF(B197="","",ROW()-4)</f>
        <v/>
      </c>
      <c r="B197" s="58" t="n"/>
      <c r="C197" s="38" t="n"/>
      <c r="D197" s="38" t="n"/>
      <c r="E197" s="41" t="n"/>
      <c r="F197" s="57">
        <f>IF(D197="","",IFERROR(INDEX(Referensi!$J$5:$J$30,MATCH(D197,Referensi!$I$5:$I$30,0)),"?"))</f>
        <v/>
      </c>
      <c r="G197" s="38" t="n"/>
      <c r="H197" s="38" t="n"/>
      <c r="I197" s="38" t="n"/>
      <c r="J197" s="38" t="n"/>
    </row>
    <row r="198" ht="15" customHeight="1" s="33">
      <c r="A198" s="57">
        <f>IF(B198="","",ROW()-4)</f>
        <v/>
      </c>
      <c r="B198" s="58" t="n"/>
      <c r="C198" s="38" t="n"/>
      <c r="D198" s="38" t="n"/>
      <c r="E198" s="41" t="n"/>
      <c r="F198" s="57">
        <f>IF(D198="","",IFERROR(INDEX(Referensi!$J$5:$J$30,MATCH(D198,Referensi!$I$5:$I$30,0)),"?"))</f>
        <v/>
      </c>
      <c r="G198" s="38" t="n"/>
      <c r="H198" s="38" t="n"/>
      <c r="I198" s="38" t="n"/>
      <c r="J198" s="38" t="n"/>
    </row>
    <row r="199" ht="15" customHeight="1" s="33">
      <c r="A199" s="57">
        <f>IF(B199="","",ROW()-4)</f>
        <v/>
      </c>
      <c r="B199" s="58" t="n"/>
      <c r="C199" s="38" t="n"/>
      <c r="D199" s="38" t="n"/>
      <c r="E199" s="41" t="n"/>
      <c r="F199" s="57">
        <f>IF(D199="","",IFERROR(INDEX(Referensi!$J$5:$J$30,MATCH(D199,Referensi!$I$5:$I$30,0)),"?"))</f>
        <v/>
      </c>
      <c r="G199" s="38" t="n"/>
      <c r="H199" s="38" t="n"/>
      <c r="I199" s="38" t="n"/>
      <c r="J199" s="38" t="n"/>
    </row>
    <row r="200" ht="15" customHeight="1" s="33">
      <c r="A200" s="57">
        <f>IF(B200="","",ROW()-4)</f>
        <v/>
      </c>
      <c r="B200" s="58" t="n"/>
      <c r="C200" s="38" t="n"/>
      <c r="D200" s="38" t="n"/>
      <c r="E200" s="41" t="n"/>
      <c r="F200" s="57">
        <f>IF(D200="","",IFERROR(INDEX(Referensi!$J$5:$J$30,MATCH(D200,Referensi!$I$5:$I$30,0)),"?"))</f>
        <v/>
      </c>
      <c r="G200" s="38" t="n"/>
      <c r="H200" s="38" t="n"/>
      <c r="I200" s="38" t="n"/>
      <c r="J200" s="38" t="n"/>
    </row>
    <row r="201" ht="15" customHeight="1" s="33">
      <c r="A201" s="57">
        <f>IF(B201="","",ROW()-4)</f>
        <v/>
      </c>
      <c r="B201" s="58" t="n"/>
      <c r="C201" s="38" t="n"/>
      <c r="D201" s="38" t="n"/>
      <c r="E201" s="41" t="n"/>
      <c r="F201" s="57">
        <f>IF(D201="","",IFERROR(INDEX(Referensi!$J$5:$J$30,MATCH(D201,Referensi!$I$5:$I$30,0)),"?"))</f>
        <v/>
      </c>
      <c r="G201" s="38" t="n"/>
      <c r="H201" s="38" t="n"/>
      <c r="I201" s="38" t="n"/>
      <c r="J201" s="38" t="n"/>
    </row>
    <row r="202" ht="15" customHeight="1" s="33">
      <c r="A202" s="57">
        <f>IF(B202="","",ROW()-4)</f>
        <v/>
      </c>
      <c r="B202" s="58" t="n"/>
      <c r="C202" s="38" t="n"/>
      <c r="D202" s="38" t="n"/>
      <c r="E202" s="41" t="n"/>
      <c r="F202" s="57">
        <f>IF(D202="","",IFERROR(INDEX(Referensi!$J$5:$J$30,MATCH(D202,Referensi!$I$5:$I$30,0)),"?"))</f>
        <v/>
      </c>
      <c r="G202" s="38" t="n"/>
      <c r="H202" s="38" t="n"/>
      <c r="I202" s="38" t="n"/>
      <c r="J202" s="38" t="n"/>
    </row>
    <row r="203" ht="15" customHeight="1" s="33">
      <c r="A203" s="57">
        <f>IF(B203="","",ROW()-4)</f>
        <v/>
      </c>
      <c r="B203" s="58" t="n"/>
      <c r="C203" s="38" t="n"/>
      <c r="D203" s="38" t="n"/>
      <c r="E203" s="41" t="n"/>
      <c r="F203" s="57">
        <f>IF(D203="","",IFERROR(INDEX(Referensi!$J$5:$J$30,MATCH(D203,Referensi!$I$5:$I$30,0)),"?"))</f>
        <v/>
      </c>
      <c r="G203" s="38" t="n"/>
      <c r="H203" s="38" t="n"/>
      <c r="I203" s="38" t="n"/>
      <c r="J203" s="38" t="n"/>
    </row>
    <row r="204" ht="15" customHeight="1" s="33">
      <c r="A204" s="57">
        <f>IF(B204="","",ROW()-4)</f>
        <v/>
      </c>
      <c r="B204" s="58" t="n"/>
      <c r="C204" s="38" t="n"/>
      <c r="D204" s="38" t="n"/>
      <c r="E204" s="41" t="n"/>
      <c r="F204" s="57">
        <f>IF(D204="","",IFERROR(INDEX(Referensi!$J$5:$J$30,MATCH(D204,Referensi!$I$5:$I$30,0)),"?"))</f>
        <v/>
      </c>
      <c r="G204" s="38" t="n"/>
      <c r="H204" s="38" t="n"/>
      <c r="I204" s="38" t="n"/>
      <c r="J204" s="38" t="n"/>
    </row>
    <row r="205" ht="15" customHeight="1" s="33">
      <c r="A205" s="57">
        <f>IF(B205="","",ROW()-4)</f>
        <v/>
      </c>
      <c r="B205" s="58" t="n"/>
      <c r="C205" s="38" t="n"/>
      <c r="D205" s="38" t="n"/>
      <c r="E205" s="41" t="n"/>
      <c r="F205" s="57">
        <f>IF(D205="","",IFERROR(INDEX(Referensi!$J$5:$J$30,MATCH(D205,Referensi!$I$5:$I$30,0)),"?"))</f>
        <v/>
      </c>
      <c r="G205" s="38" t="n"/>
      <c r="H205" s="38" t="n"/>
      <c r="I205" s="38" t="n"/>
      <c r="J205" s="38" t="n"/>
    </row>
    <row r="206" ht="15" customHeight="1" s="33">
      <c r="A206" s="57">
        <f>IF(B206="","",ROW()-4)</f>
        <v/>
      </c>
      <c r="B206" s="58" t="n"/>
      <c r="C206" s="38" t="n"/>
      <c r="D206" s="38" t="n"/>
      <c r="E206" s="41" t="n"/>
      <c r="F206" s="57">
        <f>IF(D206="","",IFERROR(INDEX(Referensi!$J$5:$J$30,MATCH(D206,Referensi!$I$5:$I$30,0)),"?"))</f>
        <v/>
      </c>
      <c r="G206" s="38" t="n"/>
      <c r="H206" s="38" t="n"/>
      <c r="I206" s="38" t="n"/>
      <c r="J206" s="38" t="n"/>
    </row>
    <row r="207" ht="15" customHeight="1" s="33">
      <c r="A207" s="57">
        <f>IF(B207="","",ROW()-4)</f>
        <v/>
      </c>
      <c r="B207" s="58" t="n"/>
      <c r="C207" s="38" t="n"/>
      <c r="D207" s="38" t="n"/>
      <c r="E207" s="41" t="n"/>
      <c r="F207" s="57">
        <f>IF(D207="","",IFERROR(INDEX(Referensi!$J$5:$J$30,MATCH(D207,Referensi!$I$5:$I$30,0)),"?"))</f>
        <v/>
      </c>
      <c r="G207" s="38" t="n"/>
      <c r="H207" s="38" t="n"/>
      <c r="I207" s="38" t="n"/>
      <c r="J207" s="38" t="n"/>
    </row>
    <row r="208" ht="15" customHeight="1" s="33">
      <c r="A208" s="57">
        <f>IF(B208="","",ROW()-4)</f>
        <v/>
      </c>
      <c r="B208" s="58" t="n"/>
      <c r="C208" s="38" t="n"/>
      <c r="D208" s="38" t="n"/>
      <c r="E208" s="41" t="n"/>
      <c r="F208" s="57">
        <f>IF(D208="","",IFERROR(INDEX(Referensi!$J$5:$J$30,MATCH(D208,Referensi!$I$5:$I$30,0)),"?"))</f>
        <v/>
      </c>
      <c r="G208" s="38" t="n"/>
      <c r="H208" s="38" t="n"/>
      <c r="I208" s="38" t="n"/>
      <c r="J208" s="38" t="n"/>
    </row>
    <row r="209" ht="15" customHeight="1" s="33">
      <c r="A209" s="57">
        <f>IF(B209="","",ROW()-4)</f>
        <v/>
      </c>
      <c r="B209" s="58" t="n"/>
      <c r="C209" s="38" t="n"/>
      <c r="D209" s="38" t="n"/>
      <c r="E209" s="41" t="n"/>
      <c r="F209" s="57">
        <f>IF(D209="","",IFERROR(INDEX(Referensi!$J$5:$J$30,MATCH(D209,Referensi!$I$5:$I$30,0)),"?"))</f>
        <v/>
      </c>
      <c r="G209" s="38" t="n"/>
      <c r="H209" s="38" t="n"/>
      <c r="I209" s="38" t="n"/>
      <c r="J209" s="38" t="n"/>
    </row>
    <row r="210" ht="15" customHeight="1" s="33">
      <c r="A210" s="57">
        <f>IF(B210="","",ROW()-4)</f>
        <v/>
      </c>
      <c r="B210" s="58" t="n"/>
      <c r="C210" s="38" t="n"/>
      <c r="D210" s="38" t="n"/>
      <c r="E210" s="41" t="n"/>
      <c r="F210" s="57">
        <f>IF(D210="","",IFERROR(INDEX(Referensi!$J$5:$J$30,MATCH(D210,Referensi!$I$5:$I$30,0)),"?"))</f>
        <v/>
      </c>
      <c r="G210" s="38" t="n"/>
      <c r="H210" s="38" t="n"/>
      <c r="I210" s="38" t="n"/>
      <c r="J210" s="38" t="n"/>
    </row>
    <row r="211" ht="15" customHeight="1" s="33">
      <c r="A211" s="57">
        <f>IF(B211="","",ROW()-4)</f>
        <v/>
      </c>
      <c r="B211" s="58" t="n"/>
      <c r="C211" s="38" t="n"/>
      <c r="D211" s="38" t="n"/>
      <c r="E211" s="41" t="n"/>
      <c r="F211" s="57">
        <f>IF(D211="","",IFERROR(INDEX(Referensi!$J$5:$J$30,MATCH(D211,Referensi!$I$5:$I$30,0)),"?"))</f>
        <v/>
      </c>
      <c r="G211" s="38" t="n"/>
      <c r="H211" s="38" t="n"/>
      <c r="I211" s="38" t="n"/>
      <c r="J211" s="38" t="n"/>
    </row>
    <row r="212" ht="15" customHeight="1" s="33">
      <c r="A212" s="57">
        <f>IF(B212="","",ROW()-4)</f>
        <v/>
      </c>
      <c r="B212" s="58" t="n"/>
      <c r="C212" s="38" t="n"/>
      <c r="D212" s="38" t="n"/>
      <c r="E212" s="41" t="n"/>
      <c r="F212" s="57">
        <f>IF(D212="","",IFERROR(INDEX(Referensi!$J$5:$J$30,MATCH(D212,Referensi!$I$5:$I$30,0)),"?"))</f>
        <v/>
      </c>
      <c r="G212" s="38" t="n"/>
      <c r="H212" s="38" t="n"/>
      <c r="I212" s="38" t="n"/>
      <c r="J212" s="38" t="n"/>
    </row>
    <row r="213" ht="15" customHeight="1" s="33">
      <c r="A213" s="57">
        <f>IF(B213="","",ROW()-4)</f>
        <v/>
      </c>
      <c r="B213" s="58" t="n"/>
      <c r="C213" s="38" t="n"/>
      <c r="D213" s="38" t="n"/>
      <c r="E213" s="41" t="n"/>
      <c r="F213" s="57">
        <f>IF(D213="","",IFERROR(INDEX(Referensi!$J$5:$J$30,MATCH(D213,Referensi!$I$5:$I$30,0)),"?"))</f>
        <v/>
      </c>
      <c r="G213" s="38" t="n"/>
      <c r="H213" s="38" t="n"/>
      <c r="I213" s="38" t="n"/>
      <c r="J213" s="38" t="n"/>
    </row>
    <row r="214" ht="15" customHeight="1" s="33">
      <c r="A214" s="57">
        <f>IF(B214="","",ROW()-4)</f>
        <v/>
      </c>
      <c r="B214" s="58" t="n"/>
      <c r="C214" s="38" t="n"/>
      <c r="D214" s="38" t="n"/>
      <c r="E214" s="41" t="n"/>
      <c r="F214" s="57">
        <f>IF(D214="","",IFERROR(INDEX(Referensi!$J$5:$J$30,MATCH(D214,Referensi!$I$5:$I$30,0)),"?"))</f>
        <v/>
      </c>
      <c r="G214" s="38" t="n"/>
      <c r="H214" s="38" t="n"/>
      <c r="I214" s="38" t="n"/>
      <c r="J214" s="38" t="n"/>
    </row>
    <row r="215" ht="15" customHeight="1" s="33">
      <c r="A215" s="57">
        <f>IF(B215="","",ROW()-4)</f>
        <v/>
      </c>
      <c r="B215" s="58" t="n"/>
      <c r="C215" s="38" t="n"/>
      <c r="D215" s="38" t="n"/>
      <c r="E215" s="41" t="n"/>
      <c r="F215" s="57">
        <f>IF(D215="","",IFERROR(INDEX(Referensi!$J$5:$J$30,MATCH(D215,Referensi!$I$5:$I$30,0)),"?"))</f>
        <v/>
      </c>
      <c r="G215" s="38" t="n"/>
      <c r="H215" s="38" t="n"/>
      <c r="I215" s="38" t="n"/>
      <c r="J215" s="38" t="n"/>
    </row>
    <row r="216" ht="15" customHeight="1" s="33">
      <c r="A216" s="57">
        <f>IF(B216="","",ROW()-4)</f>
        <v/>
      </c>
      <c r="B216" s="58" t="n"/>
      <c r="C216" s="38" t="n"/>
      <c r="D216" s="38" t="n"/>
      <c r="E216" s="41" t="n"/>
      <c r="F216" s="57">
        <f>IF(D216="","",IFERROR(INDEX(Referensi!$J$5:$J$30,MATCH(D216,Referensi!$I$5:$I$30,0)),"?"))</f>
        <v/>
      </c>
      <c r="G216" s="38" t="n"/>
      <c r="H216" s="38" t="n"/>
      <c r="I216" s="38" t="n"/>
      <c r="J216" s="38" t="n"/>
    </row>
    <row r="217" ht="15" customHeight="1" s="33">
      <c r="A217" s="57">
        <f>IF(B217="","",ROW()-4)</f>
        <v/>
      </c>
      <c r="B217" s="58" t="n"/>
      <c r="C217" s="38" t="n"/>
      <c r="D217" s="38" t="n"/>
      <c r="E217" s="41" t="n"/>
      <c r="F217" s="57">
        <f>IF(D217="","",IFERROR(INDEX(Referensi!$J$5:$J$30,MATCH(D217,Referensi!$I$5:$I$30,0)),"?"))</f>
        <v/>
      </c>
      <c r="G217" s="38" t="n"/>
      <c r="H217" s="38" t="n"/>
      <c r="I217" s="38" t="n"/>
      <c r="J217" s="38" t="n"/>
    </row>
    <row r="218" ht="15" customHeight="1" s="33">
      <c r="A218" s="57">
        <f>IF(B218="","",ROW()-4)</f>
        <v/>
      </c>
      <c r="B218" s="58" t="n"/>
      <c r="C218" s="38" t="n"/>
      <c r="D218" s="38" t="n"/>
      <c r="E218" s="41" t="n"/>
      <c r="F218" s="57">
        <f>IF(D218="","",IFERROR(INDEX(Referensi!$J$5:$J$30,MATCH(D218,Referensi!$I$5:$I$30,0)),"?"))</f>
        <v/>
      </c>
      <c r="G218" s="38" t="n"/>
      <c r="H218" s="38" t="n"/>
      <c r="I218" s="38" t="n"/>
      <c r="J218" s="38" t="n"/>
    </row>
    <row r="219" ht="15" customHeight="1" s="33">
      <c r="A219" s="57">
        <f>IF(B219="","",ROW()-4)</f>
        <v/>
      </c>
      <c r="B219" s="58" t="n"/>
      <c r="C219" s="38" t="n"/>
      <c r="D219" s="38" t="n"/>
      <c r="E219" s="41" t="n"/>
      <c r="F219" s="57">
        <f>IF(D219="","",IFERROR(INDEX(Referensi!$J$5:$J$30,MATCH(D219,Referensi!$I$5:$I$30,0)),"?"))</f>
        <v/>
      </c>
      <c r="G219" s="38" t="n"/>
      <c r="H219" s="38" t="n"/>
      <c r="I219" s="38" t="n"/>
      <c r="J219" s="38" t="n"/>
    </row>
    <row r="220" ht="15" customHeight="1" s="33">
      <c r="A220" s="57">
        <f>IF(B220="","",ROW()-4)</f>
        <v/>
      </c>
      <c r="B220" s="58" t="n"/>
      <c r="C220" s="38" t="n"/>
      <c r="D220" s="38" t="n"/>
      <c r="E220" s="41" t="n"/>
      <c r="F220" s="57">
        <f>IF(D220="","",IFERROR(INDEX(Referensi!$J$5:$J$30,MATCH(D220,Referensi!$I$5:$I$30,0)),"?"))</f>
        <v/>
      </c>
      <c r="G220" s="38" t="n"/>
      <c r="H220" s="38" t="n"/>
      <c r="I220" s="38" t="n"/>
      <c r="J220" s="38" t="n"/>
    </row>
    <row r="221" ht="15" customHeight="1" s="33">
      <c r="A221" s="57">
        <f>IF(B221="","",ROW()-4)</f>
        <v/>
      </c>
      <c r="B221" s="58" t="n"/>
      <c r="C221" s="38" t="n"/>
      <c r="D221" s="38" t="n"/>
      <c r="E221" s="41" t="n"/>
      <c r="F221" s="57">
        <f>IF(D221="","",IFERROR(INDEX(Referensi!$J$5:$J$30,MATCH(D221,Referensi!$I$5:$I$30,0)),"?"))</f>
        <v/>
      </c>
      <c r="G221" s="38" t="n"/>
      <c r="H221" s="38" t="n"/>
      <c r="I221" s="38" t="n"/>
      <c r="J221" s="38" t="n"/>
    </row>
    <row r="222" ht="15" customHeight="1" s="33">
      <c r="A222" s="57">
        <f>IF(B222="","",ROW()-4)</f>
        <v/>
      </c>
      <c r="B222" s="58" t="n"/>
      <c r="C222" s="38" t="n"/>
      <c r="D222" s="38" t="n"/>
      <c r="E222" s="41" t="n"/>
      <c r="F222" s="57">
        <f>IF(D222="","",IFERROR(INDEX(Referensi!$J$5:$J$30,MATCH(D222,Referensi!$I$5:$I$30,0)),"?"))</f>
        <v/>
      </c>
      <c r="G222" s="38" t="n"/>
      <c r="H222" s="38" t="n"/>
      <c r="I222" s="38" t="n"/>
      <c r="J222" s="38" t="n"/>
    </row>
    <row r="223" ht="15" customHeight="1" s="33">
      <c r="A223" s="57">
        <f>IF(B223="","",ROW()-4)</f>
        <v/>
      </c>
      <c r="B223" s="58" t="n"/>
      <c r="C223" s="38" t="n"/>
      <c r="D223" s="38" t="n"/>
      <c r="E223" s="41" t="n"/>
      <c r="F223" s="57">
        <f>IF(D223="","",IFERROR(INDEX(Referensi!$J$5:$J$30,MATCH(D223,Referensi!$I$5:$I$30,0)),"?"))</f>
        <v/>
      </c>
      <c r="G223" s="38" t="n"/>
      <c r="H223" s="38" t="n"/>
      <c r="I223" s="38" t="n"/>
      <c r="J223" s="38" t="n"/>
    </row>
    <row r="224" ht="15" customHeight="1" s="33">
      <c r="A224" s="57">
        <f>IF(B224="","",ROW()-4)</f>
        <v/>
      </c>
      <c r="B224" s="58" t="n"/>
      <c r="C224" s="38" t="n"/>
      <c r="D224" s="38" t="n"/>
      <c r="E224" s="41" t="n"/>
      <c r="F224" s="57">
        <f>IF(D224="","",IFERROR(INDEX(Referensi!$J$5:$J$30,MATCH(D224,Referensi!$I$5:$I$30,0)),"?"))</f>
        <v/>
      </c>
      <c r="G224" s="38" t="n"/>
      <c r="H224" s="38" t="n"/>
      <c r="I224" s="38" t="n"/>
      <c r="J224" s="38" t="n"/>
    </row>
    <row r="225" ht="15" customHeight="1" s="33">
      <c r="A225" s="57">
        <f>IF(B225="","",ROW()-4)</f>
        <v/>
      </c>
      <c r="B225" s="58" t="n"/>
      <c r="C225" s="38" t="n"/>
      <c r="D225" s="38" t="n"/>
      <c r="E225" s="41" t="n"/>
      <c r="F225" s="57">
        <f>IF(D225="","",IFERROR(INDEX(Referensi!$J$5:$J$30,MATCH(D225,Referensi!$I$5:$I$30,0)),"?"))</f>
        <v/>
      </c>
      <c r="G225" s="38" t="n"/>
      <c r="H225" s="38" t="n"/>
      <c r="I225" s="38" t="n"/>
      <c r="J225" s="38" t="n"/>
    </row>
    <row r="226" ht="15" customHeight="1" s="33">
      <c r="A226" s="57">
        <f>IF(B226="","",ROW()-4)</f>
        <v/>
      </c>
      <c r="B226" s="58" t="n"/>
      <c r="C226" s="38" t="n"/>
      <c r="D226" s="38" t="n"/>
      <c r="E226" s="41" t="n"/>
      <c r="F226" s="57">
        <f>IF(D226="","",IFERROR(INDEX(Referensi!$J$5:$J$30,MATCH(D226,Referensi!$I$5:$I$30,0)),"?"))</f>
        <v/>
      </c>
      <c r="G226" s="38" t="n"/>
      <c r="H226" s="38" t="n"/>
      <c r="I226" s="38" t="n"/>
      <c r="J226" s="38" t="n"/>
    </row>
    <row r="227" ht="15" customHeight="1" s="33">
      <c r="A227" s="57">
        <f>IF(B227="","",ROW()-4)</f>
        <v/>
      </c>
      <c r="B227" s="58" t="n"/>
      <c r="C227" s="38" t="n"/>
      <c r="D227" s="38" t="n"/>
      <c r="E227" s="41" t="n"/>
      <c r="F227" s="57">
        <f>IF(D227="","",IFERROR(INDEX(Referensi!$J$5:$J$30,MATCH(D227,Referensi!$I$5:$I$30,0)),"?"))</f>
        <v/>
      </c>
      <c r="G227" s="38" t="n"/>
      <c r="H227" s="38" t="n"/>
      <c r="I227" s="38" t="n"/>
      <c r="J227" s="38" t="n"/>
    </row>
    <row r="228" ht="15" customHeight="1" s="33">
      <c r="A228" s="57">
        <f>IF(B228="","",ROW()-4)</f>
        <v/>
      </c>
      <c r="B228" s="58" t="n"/>
      <c r="C228" s="38" t="n"/>
      <c r="D228" s="38" t="n"/>
      <c r="E228" s="41" t="n"/>
      <c r="F228" s="57">
        <f>IF(D228="","",IFERROR(INDEX(Referensi!$J$5:$J$30,MATCH(D228,Referensi!$I$5:$I$30,0)),"?"))</f>
        <v/>
      </c>
      <c r="G228" s="38" t="n"/>
      <c r="H228" s="38" t="n"/>
      <c r="I228" s="38" t="n"/>
      <c r="J228" s="38" t="n"/>
    </row>
    <row r="229" ht="15" customHeight="1" s="33">
      <c r="A229" s="57">
        <f>IF(B229="","",ROW()-4)</f>
        <v/>
      </c>
      <c r="B229" s="58" t="n"/>
      <c r="C229" s="38" t="n"/>
      <c r="D229" s="38" t="n"/>
      <c r="E229" s="41" t="n"/>
      <c r="F229" s="57">
        <f>IF(D229="","",IFERROR(INDEX(Referensi!$J$5:$J$30,MATCH(D229,Referensi!$I$5:$I$30,0)),"?"))</f>
        <v/>
      </c>
      <c r="G229" s="38" t="n"/>
      <c r="H229" s="38" t="n"/>
      <c r="I229" s="38" t="n"/>
      <c r="J229" s="38" t="n"/>
    </row>
    <row r="230" ht="15" customHeight="1" s="33">
      <c r="A230" s="57">
        <f>IF(B230="","",ROW()-4)</f>
        <v/>
      </c>
      <c r="B230" s="58" t="n"/>
      <c r="C230" s="38" t="n"/>
      <c r="D230" s="38" t="n"/>
      <c r="E230" s="41" t="n"/>
      <c r="F230" s="57">
        <f>IF(D230="","",IFERROR(INDEX(Referensi!$J$5:$J$30,MATCH(D230,Referensi!$I$5:$I$30,0)),"?"))</f>
        <v/>
      </c>
      <c r="G230" s="38" t="n"/>
      <c r="H230" s="38" t="n"/>
      <c r="I230" s="38" t="n"/>
      <c r="J230" s="38" t="n"/>
    </row>
    <row r="231" ht="15" customHeight="1" s="33">
      <c r="A231" s="57">
        <f>IF(B231="","",ROW()-4)</f>
        <v/>
      </c>
      <c r="B231" s="58" t="n"/>
      <c r="C231" s="38" t="n"/>
      <c r="D231" s="38" t="n"/>
      <c r="E231" s="41" t="n"/>
      <c r="F231" s="57">
        <f>IF(D231="","",IFERROR(INDEX(Referensi!$J$5:$J$30,MATCH(D231,Referensi!$I$5:$I$30,0)),"?"))</f>
        <v/>
      </c>
      <c r="G231" s="38" t="n"/>
      <c r="H231" s="38" t="n"/>
      <c r="I231" s="38" t="n"/>
      <c r="J231" s="38" t="n"/>
    </row>
    <row r="232" ht="15" customHeight="1" s="33">
      <c r="A232" s="57">
        <f>IF(B232="","",ROW()-4)</f>
        <v/>
      </c>
      <c r="B232" s="58" t="n"/>
      <c r="C232" s="38" t="n"/>
      <c r="D232" s="38" t="n"/>
      <c r="E232" s="41" t="n"/>
      <c r="F232" s="57">
        <f>IF(D232="","",IFERROR(INDEX(Referensi!$J$5:$J$30,MATCH(D232,Referensi!$I$5:$I$30,0)),"?"))</f>
        <v/>
      </c>
      <c r="G232" s="38" t="n"/>
      <c r="H232" s="38" t="n"/>
      <c r="I232" s="38" t="n"/>
      <c r="J232" s="38" t="n"/>
    </row>
    <row r="233" ht="15" customHeight="1" s="33">
      <c r="A233" s="57">
        <f>IF(B233="","",ROW()-4)</f>
        <v/>
      </c>
      <c r="B233" s="58" t="n"/>
      <c r="C233" s="38" t="n"/>
      <c r="D233" s="38" t="n"/>
      <c r="E233" s="41" t="n"/>
      <c r="F233" s="57">
        <f>IF(D233="","",IFERROR(INDEX(Referensi!$J$5:$J$30,MATCH(D233,Referensi!$I$5:$I$30,0)),"?"))</f>
        <v/>
      </c>
      <c r="G233" s="38" t="n"/>
      <c r="H233" s="38" t="n"/>
      <c r="I233" s="38" t="n"/>
      <c r="J233" s="38" t="n"/>
    </row>
    <row r="234" ht="15" customHeight="1" s="33">
      <c r="A234" s="57">
        <f>IF(B234="","",ROW()-4)</f>
        <v/>
      </c>
      <c r="B234" s="58" t="n"/>
      <c r="C234" s="38" t="n"/>
      <c r="D234" s="38" t="n"/>
      <c r="E234" s="41" t="n"/>
      <c r="F234" s="57">
        <f>IF(D234="","",IFERROR(INDEX(Referensi!$J$5:$J$30,MATCH(D234,Referensi!$I$5:$I$30,0)),"?"))</f>
        <v/>
      </c>
      <c r="G234" s="38" t="n"/>
      <c r="H234" s="38" t="n"/>
      <c r="I234" s="38" t="n"/>
      <c r="J234" s="38" t="n"/>
    </row>
    <row r="235" ht="15" customHeight="1" s="33">
      <c r="A235" s="57">
        <f>IF(B235="","",ROW()-4)</f>
        <v/>
      </c>
      <c r="B235" s="58" t="n"/>
      <c r="C235" s="38" t="n"/>
      <c r="D235" s="38" t="n"/>
      <c r="E235" s="41" t="n"/>
      <c r="F235" s="57">
        <f>IF(D235="","",IFERROR(INDEX(Referensi!$J$5:$J$30,MATCH(D235,Referensi!$I$5:$I$30,0)),"?"))</f>
        <v/>
      </c>
      <c r="G235" s="38" t="n"/>
      <c r="H235" s="38" t="n"/>
      <c r="I235" s="38" t="n"/>
      <c r="J235" s="38" t="n"/>
    </row>
    <row r="236" ht="15" customHeight="1" s="33">
      <c r="A236" s="57">
        <f>IF(B236="","",ROW()-4)</f>
        <v/>
      </c>
      <c r="B236" s="58" t="n"/>
      <c r="C236" s="38" t="n"/>
      <c r="D236" s="38" t="n"/>
      <c r="E236" s="41" t="n"/>
      <c r="F236" s="57">
        <f>IF(D236="","",IFERROR(INDEX(Referensi!$J$5:$J$30,MATCH(D236,Referensi!$I$5:$I$30,0)),"?"))</f>
        <v/>
      </c>
      <c r="G236" s="38" t="n"/>
      <c r="H236" s="38" t="n"/>
      <c r="I236" s="38" t="n"/>
      <c r="J236" s="38" t="n"/>
    </row>
    <row r="237" ht="15" customHeight="1" s="33">
      <c r="A237" s="57">
        <f>IF(B237="","",ROW()-4)</f>
        <v/>
      </c>
      <c r="B237" s="58" t="n"/>
      <c r="C237" s="38" t="n"/>
      <c r="D237" s="38" t="n"/>
      <c r="E237" s="41" t="n"/>
      <c r="F237" s="57">
        <f>IF(D237="","",IFERROR(INDEX(Referensi!$J$5:$J$30,MATCH(D237,Referensi!$I$5:$I$30,0)),"?"))</f>
        <v/>
      </c>
      <c r="G237" s="38" t="n"/>
      <c r="H237" s="38" t="n"/>
      <c r="I237" s="38" t="n"/>
      <c r="J237" s="38" t="n"/>
    </row>
    <row r="238" ht="15" customHeight="1" s="33">
      <c r="A238" s="57">
        <f>IF(B238="","",ROW()-4)</f>
        <v/>
      </c>
      <c r="B238" s="58" t="n"/>
      <c r="C238" s="38" t="n"/>
      <c r="D238" s="38" t="n"/>
      <c r="E238" s="41" t="n"/>
      <c r="F238" s="57">
        <f>IF(D238="","",IFERROR(INDEX(Referensi!$J$5:$J$30,MATCH(D238,Referensi!$I$5:$I$30,0)),"?"))</f>
        <v/>
      </c>
      <c r="G238" s="38" t="n"/>
      <c r="H238" s="38" t="n"/>
      <c r="I238" s="38" t="n"/>
      <c r="J238" s="38" t="n"/>
    </row>
    <row r="239" ht="15" customHeight="1" s="33">
      <c r="A239" s="57">
        <f>IF(B239="","",ROW()-4)</f>
        <v/>
      </c>
      <c r="B239" s="58" t="n"/>
      <c r="C239" s="38" t="n"/>
      <c r="D239" s="38" t="n"/>
      <c r="E239" s="41" t="n"/>
      <c r="F239" s="57">
        <f>IF(D239="","",IFERROR(INDEX(Referensi!$J$5:$J$30,MATCH(D239,Referensi!$I$5:$I$30,0)),"?"))</f>
        <v/>
      </c>
      <c r="G239" s="38" t="n"/>
      <c r="H239" s="38" t="n"/>
      <c r="I239" s="38" t="n"/>
      <c r="J239" s="38" t="n"/>
    </row>
    <row r="240" ht="15" customHeight="1" s="33">
      <c r="A240" s="57">
        <f>IF(B240="","",ROW()-4)</f>
        <v/>
      </c>
      <c r="B240" s="58" t="n"/>
      <c r="C240" s="38" t="n"/>
      <c r="D240" s="38" t="n"/>
      <c r="E240" s="41" t="n"/>
      <c r="F240" s="57">
        <f>IF(D240="","",IFERROR(INDEX(Referensi!$J$5:$J$30,MATCH(D240,Referensi!$I$5:$I$30,0)),"?"))</f>
        <v/>
      </c>
      <c r="G240" s="38" t="n"/>
      <c r="H240" s="38" t="n"/>
      <c r="I240" s="38" t="n"/>
      <c r="J240" s="38" t="n"/>
    </row>
    <row r="241" ht="15" customHeight="1" s="33">
      <c r="A241" s="57">
        <f>IF(B241="","",ROW()-4)</f>
        <v/>
      </c>
      <c r="B241" s="58" t="n"/>
      <c r="C241" s="38" t="n"/>
      <c r="D241" s="38" t="n"/>
      <c r="E241" s="41" t="n"/>
      <c r="F241" s="57">
        <f>IF(D241="","",IFERROR(INDEX(Referensi!$J$5:$J$30,MATCH(D241,Referensi!$I$5:$I$30,0)),"?"))</f>
        <v/>
      </c>
      <c r="G241" s="38" t="n"/>
      <c r="H241" s="38" t="n"/>
      <c r="I241" s="38" t="n"/>
      <c r="J241" s="38" t="n"/>
    </row>
    <row r="242" ht="15" customHeight="1" s="33">
      <c r="A242" s="57">
        <f>IF(B242="","",ROW()-4)</f>
        <v/>
      </c>
      <c r="B242" s="58" t="n"/>
      <c r="C242" s="38" t="n"/>
      <c r="D242" s="38" t="n"/>
      <c r="E242" s="41" t="n"/>
      <c r="F242" s="57">
        <f>IF(D242="","",IFERROR(INDEX(Referensi!$J$5:$J$30,MATCH(D242,Referensi!$I$5:$I$30,0)),"?"))</f>
        <v/>
      </c>
      <c r="G242" s="38" t="n"/>
      <c r="H242" s="38" t="n"/>
      <c r="I242" s="38" t="n"/>
      <c r="J242" s="38" t="n"/>
    </row>
    <row r="243" ht="15" customHeight="1" s="33">
      <c r="A243" s="57">
        <f>IF(B243="","",ROW()-4)</f>
        <v/>
      </c>
      <c r="B243" s="58" t="n"/>
      <c r="C243" s="38" t="n"/>
      <c r="D243" s="38" t="n"/>
      <c r="E243" s="41" t="n"/>
      <c r="F243" s="57">
        <f>IF(D243="","",IFERROR(INDEX(Referensi!$J$5:$J$30,MATCH(D243,Referensi!$I$5:$I$30,0)),"?"))</f>
        <v/>
      </c>
      <c r="G243" s="38" t="n"/>
      <c r="H243" s="38" t="n"/>
      <c r="I243" s="38" t="n"/>
      <c r="J243" s="38" t="n"/>
    </row>
    <row r="244" ht="15" customHeight="1" s="33">
      <c r="A244" s="57">
        <f>IF(B244="","",ROW()-4)</f>
        <v/>
      </c>
      <c r="B244" s="58" t="n"/>
      <c r="C244" s="38" t="n"/>
      <c r="D244" s="38" t="n"/>
      <c r="E244" s="41" t="n"/>
      <c r="F244" s="57">
        <f>IF(D244="","",IFERROR(INDEX(Referensi!$J$5:$J$30,MATCH(D244,Referensi!$I$5:$I$30,0)),"?"))</f>
        <v/>
      </c>
      <c r="G244" s="38" t="n"/>
      <c r="H244" s="38" t="n"/>
      <c r="I244" s="38" t="n"/>
      <c r="J244" s="38" t="n"/>
    </row>
    <row r="245" ht="15" customHeight="1" s="33">
      <c r="A245" s="57">
        <f>IF(B245="","",ROW()-4)</f>
        <v/>
      </c>
      <c r="B245" s="58" t="n"/>
      <c r="C245" s="38" t="n"/>
      <c r="D245" s="38" t="n"/>
      <c r="E245" s="41" t="n"/>
      <c r="F245" s="57">
        <f>IF(D245="","",IFERROR(INDEX(Referensi!$J$5:$J$30,MATCH(D245,Referensi!$I$5:$I$30,0)),"?"))</f>
        <v/>
      </c>
      <c r="G245" s="38" t="n"/>
      <c r="H245" s="38" t="n"/>
      <c r="I245" s="38" t="n"/>
      <c r="J245" s="38" t="n"/>
    </row>
    <row r="246" ht="15" customHeight="1" s="33">
      <c r="A246" s="57">
        <f>IF(B246="","",ROW()-4)</f>
        <v/>
      </c>
      <c r="B246" s="58" t="n"/>
      <c r="C246" s="38" t="n"/>
      <c r="D246" s="38" t="n"/>
      <c r="E246" s="41" t="n"/>
      <c r="F246" s="57">
        <f>IF(D246="","",IFERROR(INDEX(Referensi!$J$5:$J$30,MATCH(D246,Referensi!$I$5:$I$30,0)),"?"))</f>
        <v/>
      </c>
      <c r="G246" s="38" t="n"/>
      <c r="H246" s="38" t="n"/>
      <c r="I246" s="38" t="n"/>
      <c r="J246" s="38" t="n"/>
    </row>
    <row r="247" ht="15" customHeight="1" s="33">
      <c r="A247" s="57">
        <f>IF(B247="","",ROW()-4)</f>
        <v/>
      </c>
      <c r="B247" s="58" t="n"/>
      <c r="C247" s="38" t="n"/>
      <c r="D247" s="38" t="n"/>
      <c r="E247" s="41" t="n"/>
      <c r="F247" s="57">
        <f>IF(D247="","",IFERROR(INDEX(Referensi!$J$5:$J$30,MATCH(D247,Referensi!$I$5:$I$30,0)),"?"))</f>
        <v/>
      </c>
      <c r="G247" s="38" t="n"/>
      <c r="H247" s="38" t="n"/>
      <c r="I247" s="38" t="n"/>
      <c r="J247" s="38" t="n"/>
    </row>
    <row r="248" ht="15" customHeight="1" s="33">
      <c r="A248" s="57">
        <f>IF(B248="","",ROW()-4)</f>
        <v/>
      </c>
      <c r="B248" s="58" t="n"/>
      <c r="C248" s="38" t="n"/>
      <c r="D248" s="38" t="n"/>
      <c r="E248" s="41" t="n"/>
      <c r="F248" s="57">
        <f>IF(D248="","",IFERROR(INDEX(Referensi!$J$5:$J$30,MATCH(D248,Referensi!$I$5:$I$30,0)),"?"))</f>
        <v/>
      </c>
      <c r="G248" s="38" t="n"/>
      <c r="H248" s="38" t="n"/>
      <c r="I248" s="38" t="n"/>
      <c r="J248" s="38" t="n"/>
    </row>
    <row r="249" ht="15" customHeight="1" s="33">
      <c r="A249" s="57">
        <f>IF(B249="","",ROW()-4)</f>
        <v/>
      </c>
      <c r="B249" s="58" t="n"/>
      <c r="C249" s="38" t="n"/>
      <c r="D249" s="38" t="n"/>
      <c r="E249" s="41" t="n"/>
      <c r="F249" s="57">
        <f>IF(D249="","",IFERROR(INDEX(Referensi!$J$5:$J$30,MATCH(D249,Referensi!$I$5:$I$30,0)),"?"))</f>
        <v/>
      </c>
      <c r="G249" s="38" t="n"/>
      <c r="H249" s="38" t="n"/>
      <c r="I249" s="38" t="n"/>
      <c r="J249" s="38" t="n"/>
    </row>
    <row r="250" ht="15" customHeight="1" s="33">
      <c r="A250" s="57">
        <f>IF(B250="","",ROW()-4)</f>
        <v/>
      </c>
      <c r="B250" s="58" t="n"/>
      <c r="C250" s="38" t="n"/>
      <c r="D250" s="38" t="n"/>
      <c r="E250" s="41" t="n"/>
      <c r="F250" s="57">
        <f>IF(D250="","",IFERROR(INDEX(Referensi!$J$5:$J$30,MATCH(D250,Referensi!$I$5:$I$30,0)),"?"))</f>
        <v/>
      </c>
      <c r="G250" s="38" t="n"/>
      <c r="H250" s="38" t="n"/>
      <c r="I250" s="38" t="n"/>
      <c r="J250" s="38" t="n"/>
    </row>
    <row r="251" ht="15" customHeight="1" s="33">
      <c r="A251" s="57">
        <f>IF(B251="","",ROW()-4)</f>
        <v/>
      </c>
      <c r="B251" s="58" t="n"/>
      <c r="C251" s="38" t="n"/>
      <c r="D251" s="38" t="n"/>
      <c r="E251" s="41" t="n"/>
      <c r="F251" s="57">
        <f>IF(D251="","",IFERROR(INDEX(Referensi!$J$5:$J$30,MATCH(D251,Referensi!$I$5:$I$30,0)),"?"))</f>
        <v/>
      </c>
      <c r="G251" s="38" t="n"/>
      <c r="H251" s="38" t="n"/>
      <c r="I251" s="38" t="n"/>
      <c r="J251" s="38" t="n"/>
    </row>
    <row r="252" ht="15" customHeight="1" s="33">
      <c r="A252" s="57">
        <f>IF(B252="","",ROW()-4)</f>
        <v/>
      </c>
      <c r="B252" s="58" t="n"/>
      <c r="C252" s="38" t="n"/>
      <c r="D252" s="38" t="n"/>
      <c r="E252" s="41" t="n"/>
      <c r="F252" s="57">
        <f>IF(D252="","",IFERROR(INDEX(Referensi!$J$5:$J$30,MATCH(D252,Referensi!$I$5:$I$30,0)),"?"))</f>
        <v/>
      </c>
      <c r="G252" s="38" t="n"/>
      <c r="H252" s="38" t="n"/>
      <c r="I252" s="38" t="n"/>
      <c r="J252" s="38" t="n"/>
    </row>
    <row r="253" ht="15" customHeight="1" s="33">
      <c r="A253" s="57">
        <f>IF(B253="","",ROW()-4)</f>
        <v/>
      </c>
      <c r="B253" s="58" t="n"/>
      <c r="C253" s="38" t="n"/>
      <c r="D253" s="38" t="n"/>
      <c r="E253" s="41" t="n"/>
      <c r="F253" s="57">
        <f>IF(D253="","",IFERROR(INDEX(Referensi!$J$5:$J$30,MATCH(D253,Referensi!$I$5:$I$30,0)),"?"))</f>
        <v/>
      </c>
      <c r="G253" s="38" t="n"/>
      <c r="H253" s="38" t="n"/>
      <c r="I253" s="38" t="n"/>
      <c r="J253" s="38" t="n"/>
    </row>
    <row r="254" ht="15" customHeight="1" s="33">
      <c r="A254" s="57">
        <f>IF(B254="","",ROW()-4)</f>
        <v/>
      </c>
      <c r="B254" s="58" t="n"/>
      <c r="C254" s="38" t="n"/>
      <c r="D254" s="38" t="n"/>
      <c r="E254" s="41" t="n"/>
      <c r="F254" s="57">
        <f>IF(D254="","",IFERROR(INDEX(Referensi!$J$5:$J$30,MATCH(D254,Referensi!$I$5:$I$30,0)),"?"))</f>
        <v/>
      </c>
      <c r="G254" s="38" t="n"/>
      <c r="H254" s="38" t="n"/>
      <c r="I254" s="38" t="n"/>
      <c r="J254" s="38" t="n"/>
    </row>
    <row r="255" ht="15" customHeight="1" s="33">
      <c r="A255" s="57">
        <f>IF(B255="","",ROW()-4)</f>
        <v/>
      </c>
      <c r="B255" s="58" t="n"/>
      <c r="C255" s="38" t="n"/>
      <c r="D255" s="38" t="n"/>
      <c r="E255" s="41" t="n"/>
      <c r="F255" s="57">
        <f>IF(D255="","",IFERROR(INDEX(Referensi!$J$5:$J$30,MATCH(D255,Referensi!$I$5:$I$30,0)),"?"))</f>
        <v/>
      </c>
      <c r="G255" s="38" t="n"/>
      <c r="H255" s="38" t="n"/>
      <c r="I255" s="38" t="n"/>
      <c r="J255" s="38" t="n"/>
    </row>
    <row r="256" ht="15" customHeight="1" s="33">
      <c r="A256" s="57">
        <f>IF(B256="","",ROW()-4)</f>
        <v/>
      </c>
      <c r="B256" s="58" t="n"/>
      <c r="C256" s="38" t="n"/>
      <c r="D256" s="38" t="n"/>
      <c r="E256" s="41" t="n"/>
      <c r="F256" s="57">
        <f>IF(D256="","",IFERROR(INDEX(Referensi!$J$5:$J$30,MATCH(D256,Referensi!$I$5:$I$30,0)),"?"))</f>
        <v/>
      </c>
      <c r="G256" s="38" t="n"/>
      <c r="H256" s="38" t="n"/>
      <c r="I256" s="38" t="n"/>
      <c r="J256" s="38" t="n"/>
    </row>
    <row r="257" ht="15" customHeight="1" s="33">
      <c r="A257" s="57">
        <f>IF(B257="","",ROW()-4)</f>
        <v/>
      </c>
      <c r="B257" s="58" t="n"/>
      <c r="C257" s="38" t="n"/>
      <c r="D257" s="38" t="n"/>
      <c r="E257" s="41" t="n"/>
      <c r="F257" s="57">
        <f>IF(D257="","",IFERROR(INDEX(Referensi!$J$5:$J$30,MATCH(D257,Referensi!$I$5:$I$30,0)),"?"))</f>
        <v/>
      </c>
      <c r="G257" s="38" t="n"/>
      <c r="H257" s="38" t="n"/>
      <c r="I257" s="38" t="n"/>
      <c r="J257" s="38" t="n"/>
    </row>
    <row r="258" ht="15" customHeight="1" s="33">
      <c r="A258" s="57">
        <f>IF(B258="","",ROW()-4)</f>
        <v/>
      </c>
      <c r="B258" s="58" t="n"/>
      <c r="C258" s="38" t="n"/>
      <c r="D258" s="38" t="n"/>
      <c r="E258" s="41" t="n"/>
      <c r="F258" s="57">
        <f>IF(D258="","",IFERROR(INDEX(Referensi!$J$5:$J$30,MATCH(D258,Referensi!$I$5:$I$30,0)),"?"))</f>
        <v/>
      </c>
      <c r="G258" s="38" t="n"/>
      <c r="H258" s="38" t="n"/>
      <c r="I258" s="38" t="n"/>
      <c r="J258" s="38" t="n"/>
    </row>
    <row r="259" ht="15" customHeight="1" s="33">
      <c r="A259" s="57">
        <f>IF(B259="","",ROW()-4)</f>
        <v/>
      </c>
      <c r="B259" s="58" t="n"/>
      <c r="C259" s="38" t="n"/>
      <c r="D259" s="38" t="n"/>
      <c r="E259" s="41" t="n"/>
      <c r="F259" s="57">
        <f>IF(D259="","",IFERROR(INDEX(Referensi!$J$5:$J$30,MATCH(D259,Referensi!$I$5:$I$30,0)),"?"))</f>
        <v/>
      </c>
      <c r="G259" s="38" t="n"/>
      <c r="H259" s="38" t="n"/>
      <c r="I259" s="38" t="n"/>
      <c r="J259" s="38" t="n"/>
    </row>
    <row r="260" ht="15" customHeight="1" s="33">
      <c r="A260" s="57">
        <f>IF(B260="","",ROW()-4)</f>
        <v/>
      </c>
      <c r="B260" s="58" t="n"/>
      <c r="C260" s="38" t="n"/>
      <c r="D260" s="38" t="n"/>
      <c r="E260" s="41" t="n"/>
      <c r="F260" s="57">
        <f>IF(D260="","",IFERROR(INDEX(Referensi!$J$5:$J$30,MATCH(D260,Referensi!$I$5:$I$30,0)),"?"))</f>
        <v/>
      </c>
      <c r="G260" s="38" t="n"/>
      <c r="H260" s="38" t="n"/>
      <c r="I260" s="38" t="n"/>
      <c r="J260" s="38" t="n"/>
    </row>
    <row r="261" ht="15" customHeight="1" s="33">
      <c r="A261" s="57">
        <f>IF(B261="","",ROW()-4)</f>
        <v/>
      </c>
      <c r="B261" s="58" t="n"/>
      <c r="C261" s="38" t="n"/>
      <c r="D261" s="38" t="n"/>
      <c r="E261" s="41" t="n"/>
      <c r="F261" s="57">
        <f>IF(D261="","",IFERROR(INDEX(Referensi!$J$5:$J$30,MATCH(D261,Referensi!$I$5:$I$30,0)),"?"))</f>
        <v/>
      </c>
      <c r="G261" s="38" t="n"/>
      <c r="H261" s="38" t="n"/>
      <c r="I261" s="38" t="n"/>
      <c r="J261" s="38" t="n"/>
    </row>
    <row r="262" ht="15" customHeight="1" s="33">
      <c r="A262" s="57">
        <f>IF(B262="","",ROW()-4)</f>
        <v/>
      </c>
      <c r="B262" s="58" t="n"/>
      <c r="C262" s="38" t="n"/>
      <c r="D262" s="38" t="n"/>
      <c r="E262" s="41" t="n"/>
      <c r="F262" s="57">
        <f>IF(D262="","",IFERROR(INDEX(Referensi!$J$5:$J$30,MATCH(D262,Referensi!$I$5:$I$30,0)),"?"))</f>
        <v/>
      </c>
      <c r="G262" s="38" t="n"/>
      <c r="H262" s="38" t="n"/>
      <c r="I262" s="38" t="n"/>
      <c r="J262" s="38" t="n"/>
    </row>
    <row r="263" ht="15" customHeight="1" s="33">
      <c r="A263" s="57">
        <f>IF(B263="","",ROW()-4)</f>
        <v/>
      </c>
      <c r="B263" s="58" t="n"/>
      <c r="C263" s="38" t="n"/>
      <c r="D263" s="38" t="n"/>
      <c r="E263" s="41" t="n"/>
      <c r="F263" s="57">
        <f>IF(D263="","",IFERROR(INDEX(Referensi!$J$5:$J$30,MATCH(D263,Referensi!$I$5:$I$30,0)),"?"))</f>
        <v/>
      </c>
      <c r="G263" s="38" t="n"/>
      <c r="H263" s="38" t="n"/>
      <c r="I263" s="38" t="n"/>
      <c r="J263" s="38" t="n"/>
    </row>
    <row r="264" ht="15" customHeight="1" s="33">
      <c r="A264" s="57">
        <f>IF(B264="","",ROW()-4)</f>
        <v/>
      </c>
      <c r="B264" s="58" t="n"/>
      <c r="C264" s="38" t="n"/>
      <c r="D264" s="38" t="n"/>
      <c r="E264" s="41" t="n"/>
      <c r="F264" s="57">
        <f>IF(D264="","",IFERROR(INDEX(Referensi!$J$5:$J$30,MATCH(D264,Referensi!$I$5:$I$30,0)),"?"))</f>
        <v/>
      </c>
      <c r="G264" s="38" t="n"/>
      <c r="H264" s="38" t="n"/>
      <c r="I264" s="38" t="n"/>
      <c r="J264" s="38" t="n"/>
    </row>
    <row r="265" ht="15" customHeight="1" s="33">
      <c r="A265" s="57">
        <f>IF(B265="","",ROW()-4)</f>
        <v/>
      </c>
      <c r="B265" s="58" t="n"/>
      <c r="C265" s="38" t="n"/>
      <c r="D265" s="38" t="n"/>
      <c r="E265" s="41" t="n"/>
      <c r="F265" s="57">
        <f>IF(D265="","",IFERROR(INDEX(Referensi!$J$5:$J$30,MATCH(D265,Referensi!$I$5:$I$30,0)),"?"))</f>
        <v/>
      </c>
      <c r="G265" s="38" t="n"/>
      <c r="H265" s="38" t="n"/>
      <c r="I265" s="38" t="n"/>
      <c r="J265" s="38" t="n"/>
    </row>
    <row r="266" ht="15" customHeight="1" s="33">
      <c r="A266" s="57">
        <f>IF(B266="","",ROW()-4)</f>
        <v/>
      </c>
      <c r="B266" s="58" t="n"/>
      <c r="C266" s="38" t="n"/>
      <c r="D266" s="38" t="n"/>
      <c r="E266" s="41" t="n"/>
      <c r="F266" s="57">
        <f>IF(D266="","",IFERROR(INDEX(Referensi!$J$5:$J$30,MATCH(D266,Referensi!$I$5:$I$30,0)),"?"))</f>
        <v/>
      </c>
      <c r="G266" s="38" t="n"/>
      <c r="H266" s="38" t="n"/>
      <c r="I266" s="38" t="n"/>
      <c r="J266" s="38" t="n"/>
    </row>
    <row r="267" ht="15" customHeight="1" s="33">
      <c r="A267" s="57">
        <f>IF(B267="","",ROW()-4)</f>
        <v/>
      </c>
      <c r="B267" s="58" t="n"/>
      <c r="C267" s="38" t="n"/>
      <c r="D267" s="38" t="n"/>
      <c r="E267" s="41" t="n"/>
      <c r="F267" s="57">
        <f>IF(D267="","",IFERROR(INDEX(Referensi!$J$5:$J$30,MATCH(D267,Referensi!$I$5:$I$30,0)),"?"))</f>
        <v/>
      </c>
      <c r="G267" s="38" t="n"/>
      <c r="H267" s="38" t="n"/>
      <c r="I267" s="38" t="n"/>
      <c r="J267" s="38" t="n"/>
    </row>
    <row r="268" ht="15" customHeight="1" s="33">
      <c r="A268" s="57">
        <f>IF(B268="","",ROW()-4)</f>
        <v/>
      </c>
      <c r="B268" s="58" t="n"/>
      <c r="C268" s="38" t="n"/>
      <c r="D268" s="38" t="n"/>
      <c r="E268" s="41" t="n"/>
      <c r="F268" s="57">
        <f>IF(D268="","",IFERROR(INDEX(Referensi!$J$5:$J$30,MATCH(D268,Referensi!$I$5:$I$30,0)),"?"))</f>
        <v/>
      </c>
      <c r="G268" s="38" t="n"/>
      <c r="H268" s="38" t="n"/>
      <c r="I268" s="38" t="n"/>
      <c r="J268" s="38" t="n"/>
    </row>
    <row r="269" ht="15" customHeight="1" s="33">
      <c r="A269" s="57">
        <f>IF(B269="","",ROW()-4)</f>
        <v/>
      </c>
      <c r="B269" s="58" t="n"/>
      <c r="C269" s="38" t="n"/>
      <c r="D269" s="38" t="n"/>
      <c r="E269" s="41" t="n"/>
      <c r="F269" s="57">
        <f>IF(D269="","",IFERROR(INDEX(Referensi!$J$5:$J$30,MATCH(D269,Referensi!$I$5:$I$30,0)),"?"))</f>
        <v/>
      </c>
      <c r="G269" s="38" t="n"/>
      <c r="H269" s="38" t="n"/>
      <c r="I269" s="38" t="n"/>
      <c r="J269" s="38" t="n"/>
    </row>
    <row r="270" ht="15" customHeight="1" s="33">
      <c r="A270" s="57">
        <f>IF(B270="","",ROW()-4)</f>
        <v/>
      </c>
      <c r="B270" s="58" t="n"/>
      <c r="C270" s="38" t="n"/>
      <c r="D270" s="38" t="n"/>
      <c r="E270" s="41" t="n"/>
      <c r="F270" s="57">
        <f>IF(D270="","",IFERROR(INDEX(Referensi!$J$5:$J$30,MATCH(D270,Referensi!$I$5:$I$30,0)),"?"))</f>
        <v/>
      </c>
      <c r="G270" s="38" t="n"/>
      <c r="H270" s="38" t="n"/>
      <c r="I270" s="38" t="n"/>
      <c r="J270" s="38" t="n"/>
    </row>
    <row r="271" ht="15" customHeight="1" s="33">
      <c r="A271" s="57">
        <f>IF(B271="","",ROW()-4)</f>
        <v/>
      </c>
      <c r="B271" s="58" t="n"/>
      <c r="C271" s="38" t="n"/>
      <c r="D271" s="38" t="n"/>
      <c r="E271" s="41" t="n"/>
      <c r="F271" s="57">
        <f>IF(D271="","",IFERROR(INDEX(Referensi!$J$5:$J$30,MATCH(D271,Referensi!$I$5:$I$30,0)),"?"))</f>
        <v/>
      </c>
      <c r="G271" s="38" t="n"/>
      <c r="H271" s="38" t="n"/>
      <c r="I271" s="38" t="n"/>
      <c r="J271" s="38" t="n"/>
    </row>
    <row r="272" ht="15" customHeight="1" s="33">
      <c r="A272" s="57">
        <f>IF(B272="","",ROW()-4)</f>
        <v/>
      </c>
      <c r="B272" s="58" t="n"/>
      <c r="C272" s="38" t="n"/>
      <c r="D272" s="38" t="n"/>
      <c r="E272" s="41" t="n"/>
      <c r="F272" s="57">
        <f>IF(D272="","",IFERROR(INDEX(Referensi!$J$5:$J$30,MATCH(D272,Referensi!$I$5:$I$30,0)),"?"))</f>
        <v/>
      </c>
      <c r="G272" s="38" t="n"/>
      <c r="H272" s="38" t="n"/>
      <c r="I272" s="38" t="n"/>
      <c r="J272" s="38" t="n"/>
    </row>
    <row r="273" ht="15" customHeight="1" s="33">
      <c r="A273" s="57">
        <f>IF(B273="","",ROW()-4)</f>
        <v/>
      </c>
      <c r="B273" s="58" t="n"/>
      <c r="C273" s="38" t="n"/>
      <c r="D273" s="38" t="n"/>
      <c r="E273" s="41" t="n"/>
      <c r="F273" s="57">
        <f>IF(D273="","",IFERROR(INDEX(Referensi!$J$5:$J$30,MATCH(D273,Referensi!$I$5:$I$30,0)),"?"))</f>
        <v/>
      </c>
      <c r="G273" s="38" t="n"/>
      <c r="H273" s="38" t="n"/>
      <c r="I273" s="38" t="n"/>
      <c r="J273" s="38" t="n"/>
    </row>
    <row r="274" ht="15" customHeight="1" s="33">
      <c r="A274" s="57">
        <f>IF(B274="","",ROW()-4)</f>
        <v/>
      </c>
      <c r="B274" s="58" t="n"/>
      <c r="C274" s="38" t="n"/>
      <c r="D274" s="38" t="n"/>
      <c r="E274" s="41" t="n"/>
      <c r="F274" s="57">
        <f>IF(D274="","",IFERROR(INDEX(Referensi!$J$5:$J$30,MATCH(D274,Referensi!$I$5:$I$30,0)),"?"))</f>
        <v/>
      </c>
      <c r="G274" s="38" t="n"/>
      <c r="H274" s="38" t="n"/>
      <c r="I274" s="38" t="n"/>
      <c r="J274" s="38" t="n"/>
    </row>
    <row r="275" ht="15" customHeight="1" s="33">
      <c r="A275" s="57">
        <f>IF(B275="","",ROW()-4)</f>
        <v/>
      </c>
      <c r="B275" s="58" t="n"/>
      <c r="C275" s="38" t="n"/>
      <c r="D275" s="38" t="n"/>
      <c r="E275" s="41" t="n"/>
      <c r="F275" s="57">
        <f>IF(D275="","",IFERROR(INDEX(Referensi!$J$5:$J$30,MATCH(D275,Referensi!$I$5:$I$30,0)),"?"))</f>
        <v/>
      </c>
      <c r="G275" s="38" t="n"/>
      <c r="H275" s="38" t="n"/>
      <c r="I275" s="38" t="n"/>
      <c r="J275" s="38" t="n"/>
    </row>
    <row r="276" ht="15" customHeight="1" s="33">
      <c r="A276" s="57">
        <f>IF(B276="","",ROW()-4)</f>
        <v/>
      </c>
      <c r="B276" s="58" t="n"/>
      <c r="C276" s="38" t="n"/>
      <c r="D276" s="38" t="n"/>
      <c r="E276" s="41" t="n"/>
      <c r="F276" s="57">
        <f>IF(D276="","",IFERROR(INDEX(Referensi!$J$5:$J$30,MATCH(D276,Referensi!$I$5:$I$30,0)),"?"))</f>
        <v/>
      </c>
      <c r="G276" s="38" t="n"/>
      <c r="H276" s="38" t="n"/>
      <c r="I276" s="38" t="n"/>
      <c r="J276" s="38" t="n"/>
    </row>
    <row r="277" ht="15" customHeight="1" s="33">
      <c r="A277" s="57">
        <f>IF(B277="","",ROW()-4)</f>
        <v/>
      </c>
      <c r="B277" s="58" t="n"/>
      <c r="C277" s="38" t="n"/>
      <c r="D277" s="38" t="n"/>
      <c r="E277" s="41" t="n"/>
      <c r="F277" s="57">
        <f>IF(D277="","",IFERROR(INDEX(Referensi!$J$5:$J$30,MATCH(D277,Referensi!$I$5:$I$30,0)),"?"))</f>
        <v/>
      </c>
      <c r="G277" s="38" t="n"/>
      <c r="H277" s="38" t="n"/>
      <c r="I277" s="38" t="n"/>
      <c r="J277" s="38" t="n"/>
    </row>
    <row r="278" ht="15" customHeight="1" s="33">
      <c r="A278" s="57">
        <f>IF(B278="","",ROW()-4)</f>
        <v/>
      </c>
      <c r="B278" s="58" t="n"/>
      <c r="C278" s="38" t="n"/>
      <c r="D278" s="38" t="n"/>
      <c r="E278" s="41" t="n"/>
      <c r="F278" s="57">
        <f>IF(D278="","",IFERROR(INDEX(Referensi!$J$5:$J$30,MATCH(D278,Referensi!$I$5:$I$30,0)),"?"))</f>
        <v/>
      </c>
      <c r="G278" s="38" t="n"/>
      <c r="H278" s="38" t="n"/>
      <c r="I278" s="38" t="n"/>
      <c r="J278" s="38" t="n"/>
    </row>
    <row r="279" ht="15" customHeight="1" s="33">
      <c r="A279" s="57">
        <f>IF(B279="","",ROW()-4)</f>
        <v/>
      </c>
      <c r="B279" s="58" t="n"/>
      <c r="C279" s="38" t="n"/>
      <c r="D279" s="38" t="n"/>
      <c r="E279" s="41" t="n"/>
      <c r="F279" s="57">
        <f>IF(D279="","",IFERROR(INDEX(Referensi!$J$5:$J$30,MATCH(D279,Referensi!$I$5:$I$30,0)),"?"))</f>
        <v/>
      </c>
      <c r="G279" s="38" t="n"/>
      <c r="H279" s="38" t="n"/>
      <c r="I279" s="38" t="n"/>
      <c r="J279" s="38" t="n"/>
    </row>
    <row r="280" ht="15" customHeight="1" s="33">
      <c r="A280" s="57">
        <f>IF(B280="","",ROW()-4)</f>
        <v/>
      </c>
      <c r="B280" s="58" t="n"/>
      <c r="C280" s="38" t="n"/>
      <c r="D280" s="38" t="n"/>
      <c r="E280" s="41" t="n"/>
      <c r="F280" s="57">
        <f>IF(D280="","",IFERROR(INDEX(Referensi!$J$5:$J$30,MATCH(D280,Referensi!$I$5:$I$30,0)),"?"))</f>
        <v/>
      </c>
      <c r="G280" s="38" t="n"/>
      <c r="H280" s="38" t="n"/>
      <c r="I280" s="38" t="n"/>
      <c r="J280" s="38" t="n"/>
    </row>
    <row r="281" ht="15" customHeight="1" s="33">
      <c r="A281" s="57">
        <f>IF(B281="","",ROW()-4)</f>
        <v/>
      </c>
      <c r="B281" s="58" t="n"/>
      <c r="C281" s="38" t="n"/>
      <c r="D281" s="38" t="n"/>
      <c r="E281" s="41" t="n"/>
      <c r="F281" s="57">
        <f>IF(D281="","",IFERROR(INDEX(Referensi!$J$5:$J$30,MATCH(D281,Referensi!$I$5:$I$30,0)),"?"))</f>
        <v/>
      </c>
      <c r="G281" s="38" t="n"/>
      <c r="H281" s="38" t="n"/>
      <c r="I281" s="38" t="n"/>
      <c r="J281" s="38" t="n"/>
    </row>
    <row r="282" ht="15" customHeight="1" s="33">
      <c r="A282" s="57">
        <f>IF(B282="","",ROW()-4)</f>
        <v/>
      </c>
      <c r="B282" s="58" t="n"/>
      <c r="C282" s="38" t="n"/>
      <c r="D282" s="38" t="n"/>
      <c r="E282" s="41" t="n"/>
      <c r="F282" s="57">
        <f>IF(D282="","",IFERROR(INDEX(Referensi!$J$5:$J$30,MATCH(D282,Referensi!$I$5:$I$30,0)),"?"))</f>
        <v/>
      </c>
      <c r="G282" s="38" t="n"/>
      <c r="H282" s="38" t="n"/>
      <c r="I282" s="38" t="n"/>
      <c r="J282" s="38" t="n"/>
    </row>
    <row r="283" ht="15" customHeight="1" s="33">
      <c r="A283" s="57">
        <f>IF(B283="","",ROW()-4)</f>
        <v/>
      </c>
      <c r="B283" s="58" t="n"/>
      <c r="C283" s="38" t="n"/>
      <c r="D283" s="38" t="n"/>
      <c r="E283" s="41" t="n"/>
      <c r="F283" s="57">
        <f>IF(D283="","",IFERROR(INDEX(Referensi!$J$5:$J$30,MATCH(D283,Referensi!$I$5:$I$30,0)),"?"))</f>
        <v/>
      </c>
      <c r="G283" s="38" t="n"/>
      <c r="H283" s="38" t="n"/>
      <c r="I283" s="38" t="n"/>
      <c r="J283" s="38" t="n"/>
    </row>
    <row r="284" ht="15" customHeight="1" s="33">
      <c r="A284" s="57">
        <f>IF(B284="","",ROW()-4)</f>
        <v/>
      </c>
      <c r="B284" s="58" t="n"/>
      <c r="C284" s="38" t="n"/>
      <c r="D284" s="38" t="n"/>
      <c r="E284" s="41" t="n"/>
      <c r="F284" s="57">
        <f>IF(D284="","",IFERROR(INDEX(Referensi!$J$5:$J$30,MATCH(D284,Referensi!$I$5:$I$30,0)),"?"))</f>
        <v/>
      </c>
      <c r="G284" s="38" t="n"/>
      <c r="H284" s="38" t="n"/>
      <c r="I284" s="38" t="n"/>
      <c r="J284" s="38" t="n"/>
    </row>
    <row r="285" ht="15" customHeight="1" s="33">
      <c r="A285" s="57">
        <f>IF(B285="","",ROW()-4)</f>
        <v/>
      </c>
      <c r="B285" s="58" t="n"/>
      <c r="C285" s="38" t="n"/>
      <c r="D285" s="38" t="n"/>
      <c r="E285" s="41" t="n"/>
      <c r="F285" s="57">
        <f>IF(D285="","",IFERROR(INDEX(Referensi!$J$5:$J$30,MATCH(D285,Referensi!$I$5:$I$30,0)),"?"))</f>
        <v/>
      </c>
      <c r="G285" s="38" t="n"/>
      <c r="H285" s="38" t="n"/>
      <c r="I285" s="38" t="n"/>
      <c r="J285" s="38" t="n"/>
    </row>
    <row r="286" ht="15" customHeight="1" s="33">
      <c r="A286" s="57">
        <f>IF(B286="","",ROW()-4)</f>
        <v/>
      </c>
      <c r="B286" s="58" t="n"/>
      <c r="C286" s="38" t="n"/>
      <c r="D286" s="38" t="n"/>
      <c r="E286" s="41" t="n"/>
      <c r="F286" s="57">
        <f>IF(D286="","",IFERROR(INDEX(Referensi!$J$5:$J$30,MATCH(D286,Referensi!$I$5:$I$30,0)),"?"))</f>
        <v/>
      </c>
      <c r="G286" s="38" t="n"/>
      <c r="H286" s="38" t="n"/>
      <c r="I286" s="38" t="n"/>
      <c r="J286" s="38" t="n"/>
    </row>
    <row r="287" ht="15" customHeight="1" s="33">
      <c r="A287" s="57">
        <f>IF(B287="","",ROW()-4)</f>
        <v/>
      </c>
      <c r="B287" s="58" t="n"/>
      <c r="C287" s="38" t="n"/>
      <c r="D287" s="38" t="n"/>
      <c r="E287" s="41" t="n"/>
      <c r="F287" s="57">
        <f>IF(D287="","",IFERROR(INDEX(Referensi!$J$5:$J$30,MATCH(D287,Referensi!$I$5:$I$30,0)),"?"))</f>
        <v/>
      </c>
      <c r="G287" s="38" t="n"/>
      <c r="H287" s="38" t="n"/>
      <c r="I287" s="38" t="n"/>
      <c r="J287" s="38" t="n"/>
    </row>
    <row r="288" ht="15" customHeight="1" s="33">
      <c r="A288" s="57">
        <f>IF(B288="","",ROW()-4)</f>
        <v/>
      </c>
      <c r="B288" s="58" t="n"/>
      <c r="C288" s="38" t="n"/>
      <c r="D288" s="38" t="n"/>
      <c r="E288" s="41" t="n"/>
      <c r="F288" s="57">
        <f>IF(D288="","",IFERROR(INDEX(Referensi!$J$5:$J$30,MATCH(D288,Referensi!$I$5:$I$30,0)),"?"))</f>
        <v/>
      </c>
      <c r="G288" s="38" t="n"/>
      <c r="H288" s="38" t="n"/>
      <c r="I288" s="38" t="n"/>
      <c r="J288" s="38" t="n"/>
    </row>
    <row r="289" ht="15" customHeight="1" s="33">
      <c r="A289" s="57">
        <f>IF(B289="","",ROW()-4)</f>
        <v/>
      </c>
      <c r="B289" s="58" t="n"/>
      <c r="C289" s="38" t="n"/>
      <c r="D289" s="38" t="n"/>
      <c r="E289" s="41" t="n"/>
      <c r="F289" s="57">
        <f>IF(D289="","",IFERROR(INDEX(Referensi!$J$5:$J$30,MATCH(D289,Referensi!$I$5:$I$30,0)),"?"))</f>
        <v/>
      </c>
      <c r="G289" s="38" t="n"/>
      <c r="H289" s="38" t="n"/>
      <c r="I289" s="38" t="n"/>
      <c r="J289" s="38" t="n"/>
    </row>
    <row r="290" ht="15" customHeight="1" s="33">
      <c r="A290" s="57">
        <f>IF(B290="","",ROW()-4)</f>
        <v/>
      </c>
      <c r="B290" s="58" t="n"/>
      <c r="C290" s="38" t="n"/>
      <c r="D290" s="38" t="n"/>
      <c r="E290" s="41" t="n"/>
      <c r="F290" s="57">
        <f>IF(D290="","",IFERROR(INDEX(Referensi!$J$5:$J$30,MATCH(D290,Referensi!$I$5:$I$30,0)),"?"))</f>
        <v/>
      </c>
      <c r="G290" s="38" t="n"/>
      <c r="H290" s="38" t="n"/>
      <c r="I290" s="38" t="n"/>
      <c r="J290" s="38" t="n"/>
    </row>
    <row r="291" ht="15" customHeight="1" s="33">
      <c r="A291" s="57">
        <f>IF(B291="","",ROW()-4)</f>
        <v/>
      </c>
      <c r="B291" s="58" t="n"/>
      <c r="C291" s="38" t="n"/>
      <c r="D291" s="38" t="n"/>
      <c r="E291" s="41" t="n"/>
      <c r="F291" s="57">
        <f>IF(D291="","",IFERROR(INDEX(Referensi!$J$5:$J$30,MATCH(D291,Referensi!$I$5:$I$30,0)),"?"))</f>
        <v/>
      </c>
      <c r="G291" s="38" t="n"/>
      <c r="H291" s="38" t="n"/>
      <c r="I291" s="38" t="n"/>
      <c r="J291" s="38" t="n"/>
    </row>
    <row r="292" ht="15" customHeight="1" s="33">
      <c r="A292" s="57">
        <f>IF(B292="","",ROW()-4)</f>
        <v/>
      </c>
      <c r="B292" s="58" t="n"/>
      <c r="C292" s="38" t="n"/>
      <c r="D292" s="38" t="n"/>
      <c r="E292" s="41" t="n"/>
      <c r="F292" s="57">
        <f>IF(D292="","",IFERROR(INDEX(Referensi!$J$5:$J$30,MATCH(D292,Referensi!$I$5:$I$30,0)),"?"))</f>
        <v/>
      </c>
      <c r="G292" s="38" t="n"/>
      <c r="H292" s="38" t="n"/>
      <c r="I292" s="38" t="n"/>
      <c r="J292" s="38" t="n"/>
    </row>
    <row r="293" ht="15" customHeight="1" s="33">
      <c r="A293" s="57">
        <f>IF(B293="","",ROW()-4)</f>
        <v/>
      </c>
      <c r="B293" s="58" t="n"/>
      <c r="C293" s="38" t="n"/>
      <c r="D293" s="38" t="n"/>
      <c r="E293" s="41" t="n"/>
      <c r="F293" s="57">
        <f>IF(D293="","",IFERROR(INDEX(Referensi!$J$5:$J$30,MATCH(D293,Referensi!$I$5:$I$30,0)),"?"))</f>
        <v/>
      </c>
      <c r="G293" s="38" t="n"/>
      <c r="H293" s="38" t="n"/>
      <c r="I293" s="38" t="n"/>
      <c r="J293" s="38" t="n"/>
    </row>
    <row r="294" ht="15" customHeight="1" s="33">
      <c r="A294" s="57">
        <f>IF(B294="","",ROW()-4)</f>
        <v/>
      </c>
      <c r="B294" s="58" t="n"/>
      <c r="C294" s="38" t="n"/>
      <c r="D294" s="38" t="n"/>
      <c r="E294" s="41" t="n"/>
      <c r="F294" s="57">
        <f>IF(D294="","",IFERROR(INDEX(Referensi!$J$5:$J$30,MATCH(D294,Referensi!$I$5:$I$30,0)),"?"))</f>
        <v/>
      </c>
      <c r="G294" s="38" t="n"/>
      <c r="H294" s="38" t="n"/>
      <c r="I294" s="38" t="n"/>
      <c r="J294" s="38" t="n"/>
    </row>
    <row r="295" ht="15" customHeight="1" s="33">
      <c r="A295" s="57">
        <f>IF(B295="","",ROW()-4)</f>
        <v/>
      </c>
      <c r="B295" s="58" t="n"/>
      <c r="C295" s="38" t="n"/>
      <c r="D295" s="38" t="n"/>
      <c r="E295" s="41" t="n"/>
      <c r="F295" s="57">
        <f>IF(D295="","",IFERROR(INDEX(Referensi!$J$5:$J$30,MATCH(D295,Referensi!$I$5:$I$30,0)),"?"))</f>
        <v/>
      </c>
      <c r="G295" s="38" t="n"/>
      <c r="H295" s="38" t="n"/>
      <c r="I295" s="38" t="n"/>
      <c r="J295" s="38" t="n"/>
    </row>
    <row r="296" ht="15" customHeight="1" s="33">
      <c r="A296" s="57">
        <f>IF(B296="","",ROW()-4)</f>
        <v/>
      </c>
      <c r="B296" s="58" t="n"/>
      <c r="C296" s="38" t="n"/>
      <c r="D296" s="38" t="n"/>
      <c r="E296" s="41" t="n"/>
      <c r="F296" s="57">
        <f>IF(D296="","",IFERROR(INDEX(Referensi!$J$5:$J$30,MATCH(D296,Referensi!$I$5:$I$30,0)),"?"))</f>
        <v/>
      </c>
      <c r="G296" s="38" t="n"/>
      <c r="H296" s="38" t="n"/>
      <c r="I296" s="38" t="n"/>
      <c r="J296" s="38" t="n"/>
    </row>
    <row r="297" ht="15" customHeight="1" s="33">
      <c r="A297" s="57">
        <f>IF(B297="","",ROW()-4)</f>
        <v/>
      </c>
      <c r="B297" s="58" t="n"/>
      <c r="C297" s="38" t="n"/>
      <c r="D297" s="38" t="n"/>
      <c r="E297" s="41" t="n"/>
      <c r="F297" s="57">
        <f>IF(D297="","",IFERROR(INDEX(Referensi!$J$5:$J$30,MATCH(D297,Referensi!$I$5:$I$30,0)),"?"))</f>
        <v/>
      </c>
      <c r="G297" s="38" t="n"/>
      <c r="H297" s="38" t="n"/>
      <c r="I297" s="38" t="n"/>
      <c r="J297" s="38" t="n"/>
    </row>
    <row r="298" ht="15" customHeight="1" s="33">
      <c r="A298" s="57">
        <f>IF(B298="","",ROW()-4)</f>
        <v/>
      </c>
      <c r="B298" s="58" t="n"/>
      <c r="C298" s="38" t="n"/>
      <c r="D298" s="38" t="n"/>
      <c r="E298" s="41" t="n"/>
      <c r="F298" s="57">
        <f>IF(D298="","",IFERROR(INDEX(Referensi!$J$5:$J$30,MATCH(D298,Referensi!$I$5:$I$30,0)),"?"))</f>
        <v/>
      </c>
      <c r="G298" s="38" t="n"/>
      <c r="H298" s="38" t="n"/>
      <c r="I298" s="38" t="n"/>
      <c r="J298" s="38" t="n"/>
    </row>
    <row r="299" ht="15" customHeight="1" s="33">
      <c r="A299" s="57">
        <f>IF(B299="","",ROW()-4)</f>
        <v/>
      </c>
      <c r="B299" s="58" t="n"/>
      <c r="C299" s="38" t="n"/>
      <c r="D299" s="38" t="n"/>
      <c r="E299" s="41" t="n"/>
      <c r="F299" s="57">
        <f>IF(D299="","",IFERROR(INDEX(Referensi!$J$5:$J$30,MATCH(D299,Referensi!$I$5:$I$30,0)),"?"))</f>
        <v/>
      </c>
      <c r="G299" s="38" t="n"/>
      <c r="H299" s="38" t="n"/>
      <c r="I299" s="38" t="n"/>
      <c r="J299" s="38" t="n"/>
    </row>
    <row r="300" ht="15" customHeight="1" s="33">
      <c r="A300" s="57">
        <f>IF(B300="","",ROW()-4)</f>
        <v/>
      </c>
      <c r="B300" s="58" t="n"/>
      <c r="C300" s="38" t="n"/>
      <c r="D300" s="38" t="n"/>
      <c r="E300" s="41" t="n"/>
      <c r="F300" s="57">
        <f>IF(D300="","",IFERROR(INDEX(Referensi!$J$5:$J$30,MATCH(D300,Referensi!$I$5:$I$30,0)),"?"))</f>
        <v/>
      </c>
      <c r="G300" s="38" t="n"/>
      <c r="H300" s="38" t="n"/>
      <c r="I300" s="38" t="n"/>
      <c r="J300" s="38" t="n"/>
    </row>
    <row r="301" ht="15" customHeight="1" s="33">
      <c r="A301" s="57">
        <f>IF(B301="","",ROW()-4)</f>
        <v/>
      </c>
      <c r="B301" s="58" t="n"/>
      <c r="C301" s="38" t="n"/>
      <c r="D301" s="38" t="n"/>
      <c r="E301" s="41" t="n"/>
      <c r="F301" s="57">
        <f>IF(D301="","",IFERROR(INDEX(Referensi!$J$5:$J$30,MATCH(D301,Referensi!$I$5:$I$30,0)),"?"))</f>
        <v/>
      </c>
      <c r="G301" s="38" t="n"/>
      <c r="H301" s="38" t="n"/>
      <c r="I301" s="38" t="n"/>
      <c r="J301" s="38" t="n"/>
    </row>
    <row r="302" ht="15" customHeight="1" s="33">
      <c r="A302" s="57">
        <f>IF(B302="","",ROW()-4)</f>
        <v/>
      </c>
      <c r="B302" s="58" t="n"/>
      <c r="C302" s="38" t="n"/>
      <c r="D302" s="38" t="n"/>
      <c r="E302" s="41" t="n"/>
      <c r="F302" s="57">
        <f>IF(D302="","",IFERROR(INDEX(Referensi!$J$5:$J$30,MATCH(D302,Referensi!$I$5:$I$30,0)),"?"))</f>
        <v/>
      </c>
      <c r="G302" s="38" t="n"/>
      <c r="H302" s="38" t="n"/>
      <c r="I302" s="38" t="n"/>
      <c r="J302" s="38" t="n"/>
    </row>
    <row r="303" ht="15" customHeight="1" s="33">
      <c r="A303" s="57">
        <f>IF(B303="","",ROW()-4)</f>
        <v/>
      </c>
      <c r="B303" s="58" t="n"/>
      <c r="C303" s="38" t="n"/>
      <c r="D303" s="38" t="n"/>
      <c r="E303" s="41" t="n"/>
      <c r="F303" s="57">
        <f>IF(D303="","",IFERROR(INDEX(Referensi!$J$5:$J$30,MATCH(D303,Referensi!$I$5:$I$30,0)),"?"))</f>
        <v/>
      </c>
      <c r="G303" s="38" t="n"/>
      <c r="H303" s="38" t="n"/>
      <c r="I303" s="38" t="n"/>
      <c r="J303" s="38" t="n"/>
    </row>
    <row r="304" ht="15" customHeight="1" s="33">
      <c r="A304" s="57">
        <f>IF(B304="","",ROW()-4)</f>
        <v/>
      </c>
      <c r="B304" s="58" t="n"/>
      <c r="C304" s="38" t="n"/>
      <c r="D304" s="38" t="n"/>
      <c r="E304" s="41" t="n"/>
      <c r="F304" s="57">
        <f>IF(D304="","",IFERROR(INDEX(Referensi!$J$5:$J$30,MATCH(D304,Referensi!$I$5:$I$30,0)),"?"))</f>
        <v/>
      </c>
      <c r="G304" s="38" t="n"/>
      <c r="H304" s="38" t="n"/>
      <c r="I304" s="38" t="n"/>
      <c r="J304" s="38" t="n"/>
    </row>
    <row r="305" ht="15" customHeight="1" s="33">
      <c r="A305" s="57">
        <f>IF(B305="","",ROW()-4)</f>
        <v/>
      </c>
      <c r="B305" s="58" t="n"/>
      <c r="C305" s="38" t="n"/>
      <c r="D305" s="38" t="n"/>
      <c r="E305" s="41" t="n"/>
      <c r="F305" s="57">
        <f>IF(D305="","",IFERROR(INDEX(Referensi!$J$5:$J$30,MATCH(D305,Referensi!$I$5:$I$30,0)),"?"))</f>
        <v/>
      </c>
      <c r="G305" s="38" t="n"/>
      <c r="H305" s="38" t="n"/>
      <c r="I305" s="38" t="n"/>
      <c r="J305" s="38" t="n"/>
    </row>
    <row r="306" ht="15" customHeight="1" s="33">
      <c r="A306" s="57">
        <f>IF(B306="","",ROW()-4)</f>
        <v/>
      </c>
      <c r="B306" s="58" t="n"/>
      <c r="C306" s="38" t="n"/>
      <c r="D306" s="38" t="n"/>
      <c r="E306" s="41" t="n"/>
      <c r="F306" s="57">
        <f>IF(D306="","",IFERROR(INDEX(Referensi!$J$5:$J$30,MATCH(D306,Referensi!$I$5:$I$30,0)),"?"))</f>
        <v/>
      </c>
      <c r="G306" s="38" t="n"/>
      <c r="H306" s="38" t="n"/>
      <c r="I306" s="38" t="n"/>
      <c r="J306" s="38" t="n"/>
    </row>
    <row r="307" ht="15" customHeight="1" s="33">
      <c r="A307" s="57">
        <f>IF(B307="","",ROW()-4)</f>
        <v/>
      </c>
      <c r="B307" s="58" t="n"/>
      <c r="C307" s="38" t="n"/>
      <c r="D307" s="38" t="n"/>
      <c r="E307" s="41" t="n"/>
      <c r="F307" s="57">
        <f>IF(D307="","",IFERROR(INDEX(Referensi!$J$5:$J$30,MATCH(D307,Referensi!$I$5:$I$30,0)),"?"))</f>
        <v/>
      </c>
      <c r="G307" s="38" t="n"/>
      <c r="H307" s="38" t="n"/>
      <c r="I307" s="38" t="n"/>
      <c r="J307" s="38" t="n"/>
    </row>
    <row r="308" ht="15" customHeight="1" s="33">
      <c r="A308" s="57">
        <f>IF(B308="","",ROW()-4)</f>
        <v/>
      </c>
      <c r="B308" s="58" t="n"/>
      <c r="C308" s="38" t="n"/>
      <c r="D308" s="38" t="n"/>
      <c r="E308" s="41" t="n"/>
      <c r="F308" s="57">
        <f>IF(D308="","",IFERROR(INDEX(Referensi!$J$5:$J$30,MATCH(D308,Referensi!$I$5:$I$30,0)),"?"))</f>
        <v/>
      </c>
      <c r="G308" s="38" t="n"/>
      <c r="H308" s="38" t="n"/>
      <c r="I308" s="38" t="n"/>
      <c r="J308" s="38" t="n"/>
    </row>
    <row r="309" ht="15" customHeight="1" s="33">
      <c r="A309" s="57">
        <f>IF(B309="","",ROW()-4)</f>
        <v/>
      </c>
      <c r="B309" s="58" t="n"/>
      <c r="C309" s="38" t="n"/>
      <c r="D309" s="38" t="n"/>
      <c r="E309" s="41" t="n"/>
      <c r="F309" s="57">
        <f>IF(D309="","",IFERROR(INDEX(Referensi!$J$5:$J$30,MATCH(D309,Referensi!$I$5:$I$30,0)),"?"))</f>
        <v/>
      </c>
      <c r="G309" s="38" t="n"/>
      <c r="H309" s="38" t="n"/>
      <c r="I309" s="38" t="n"/>
      <c r="J309" s="38" t="n"/>
    </row>
    <row r="310" ht="15" customHeight="1" s="33">
      <c r="A310" s="57">
        <f>IF(B310="","",ROW()-4)</f>
        <v/>
      </c>
      <c r="B310" s="58" t="n"/>
      <c r="C310" s="38" t="n"/>
      <c r="D310" s="38" t="n"/>
      <c r="E310" s="41" t="n"/>
      <c r="F310" s="57">
        <f>IF(D310="","",IFERROR(INDEX(Referensi!$J$5:$J$30,MATCH(D310,Referensi!$I$5:$I$30,0)),"?"))</f>
        <v/>
      </c>
      <c r="G310" s="38" t="n"/>
      <c r="H310" s="38" t="n"/>
      <c r="I310" s="38" t="n"/>
      <c r="J310" s="38" t="n"/>
    </row>
    <row r="311" ht="15" customHeight="1" s="33">
      <c r="A311" s="57">
        <f>IF(B311="","",ROW()-4)</f>
        <v/>
      </c>
      <c r="B311" s="58" t="n"/>
      <c r="C311" s="38" t="n"/>
      <c r="D311" s="38" t="n"/>
      <c r="E311" s="41" t="n"/>
      <c r="F311" s="57">
        <f>IF(D311="","",IFERROR(INDEX(Referensi!$J$5:$J$30,MATCH(D311,Referensi!$I$5:$I$30,0)),"?"))</f>
        <v/>
      </c>
      <c r="G311" s="38" t="n"/>
      <c r="H311" s="38" t="n"/>
      <c r="I311" s="38" t="n"/>
      <c r="J311" s="38" t="n"/>
    </row>
    <row r="312" ht="15" customHeight="1" s="33">
      <c r="A312" s="57">
        <f>IF(B312="","",ROW()-4)</f>
        <v/>
      </c>
      <c r="B312" s="58" t="n"/>
      <c r="C312" s="38" t="n"/>
      <c r="D312" s="38" t="n"/>
      <c r="E312" s="41" t="n"/>
      <c r="F312" s="57">
        <f>IF(D312="","",IFERROR(INDEX(Referensi!$J$5:$J$30,MATCH(D312,Referensi!$I$5:$I$30,0)),"?"))</f>
        <v/>
      </c>
      <c r="G312" s="38" t="n"/>
      <c r="H312" s="38" t="n"/>
      <c r="I312" s="38" t="n"/>
      <c r="J312" s="38" t="n"/>
    </row>
    <row r="313" ht="15" customHeight="1" s="33">
      <c r="A313" s="57">
        <f>IF(B313="","",ROW()-4)</f>
        <v/>
      </c>
      <c r="B313" s="58" t="n"/>
      <c r="C313" s="38" t="n"/>
      <c r="D313" s="38" t="n"/>
      <c r="E313" s="41" t="n"/>
      <c r="F313" s="57">
        <f>IF(D313="","",IFERROR(INDEX(Referensi!$J$5:$J$30,MATCH(D313,Referensi!$I$5:$I$30,0)),"?"))</f>
        <v/>
      </c>
      <c r="G313" s="38" t="n"/>
      <c r="H313" s="38" t="n"/>
      <c r="I313" s="38" t="n"/>
      <c r="J313" s="38" t="n"/>
    </row>
    <row r="314" ht="15" customHeight="1" s="33">
      <c r="A314" s="57">
        <f>IF(B314="","",ROW()-4)</f>
        <v/>
      </c>
      <c r="B314" s="58" t="n"/>
      <c r="C314" s="38" t="n"/>
      <c r="D314" s="38" t="n"/>
      <c r="E314" s="41" t="n"/>
      <c r="F314" s="57">
        <f>IF(D314="","",IFERROR(INDEX(Referensi!$J$5:$J$30,MATCH(D314,Referensi!$I$5:$I$30,0)),"?"))</f>
        <v/>
      </c>
      <c r="G314" s="38" t="n"/>
      <c r="H314" s="38" t="n"/>
      <c r="I314" s="38" t="n"/>
      <c r="J314" s="38" t="n"/>
    </row>
    <row r="315" ht="15" customHeight="1" s="33">
      <c r="A315" s="57">
        <f>IF(B315="","",ROW()-4)</f>
        <v/>
      </c>
      <c r="B315" s="58" t="n"/>
      <c r="C315" s="38" t="n"/>
      <c r="D315" s="38" t="n"/>
      <c r="E315" s="41" t="n"/>
      <c r="F315" s="57">
        <f>IF(D315="","",IFERROR(INDEX(Referensi!$J$5:$J$30,MATCH(D315,Referensi!$I$5:$I$30,0)),"?"))</f>
        <v/>
      </c>
      <c r="G315" s="38" t="n"/>
      <c r="H315" s="38" t="n"/>
      <c r="I315" s="38" t="n"/>
      <c r="J315" s="38" t="n"/>
    </row>
    <row r="316" ht="15" customHeight="1" s="33">
      <c r="A316" s="57">
        <f>IF(B316="","",ROW()-4)</f>
        <v/>
      </c>
      <c r="B316" s="58" t="n"/>
      <c r="C316" s="38" t="n"/>
      <c r="D316" s="38" t="n"/>
      <c r="E316" s="41" t="n"/>
      <c r="F316" s="57">
        <f>IF(D316="","",IFERROR(INDEX(Referensi!$J$5:$J$30,MATCH(D316,Referensi!$I$5:$I$30,0)),"?"))</f>
        <v/>
      </c>
      <c r="G316" s="38" t="n"/>
      <c r="H316" s="38" t="n"/>
      <c r="I316" s="38" t="n"/>
      <c r="J316" s="38" t="n"/>
    </row>
    <row r="317" ht="15" customHeight="1" s="33">
      <c r="A317" s="57">
        <f>IF(B317="","",ROW()-4)</f>
        <v/>
      </c>
      <c r="B317" s="58" t="n"/>
      <c r="C317" s="38" t="n"/>
      <c r="D317" s="38" t="n"/>
      <c r="E317" s="41" t="n"/>
      <c r="F317" s="57">
        <f>IF(D317="","",IFERROR(INDEX(Referensi!$J$5:$J$30,MATCH(D317,Referensi!$I$5:$I$30,0)),"?"))</f>
        <v/>
      </c>
      <c r="G317" s="38" t="n"/>
      <c r="H317" s="38" t="n"/>
      <c r="I317" s="38" t="n"/>
      <c r="J317" s="38" t="n"/>
    </row>
    <row r="318" ht="15" customHeight="1" s="33">
      <c r="A318" s="57">
        <f>IF(B318="","",ROW()-4)</f>
        <v/>
      </c>
      <c r="B318" s="58" t="n"/>
      <c r="C318" s="38" t="n"/>
      <c r="D318" s="38" t="n"/>
      <c r="E318" s="41" t="n"/>
      <c r="F318" s="57">
        <f>IF(D318="","",IFERROR(INDEX(Referensi!$J$5:$J$30,MATCH(D318,Referensi!$I$5:$I$30,0)),"?"))</f>
        <v/>
      </c>
      <c r="G318" s="38" t="n"/>
      <c r="H318" s="38" t="n"/>
      <c r="I318" s="38" t="n"/>
      <c r="J318" s="38" t="n"/>
    </row>
    <row r="319" ht="15" customHeight="1" s="33">
      <c r="A319" s="57">
        <f>IF(B319="","",ROW()-4)</f>
        <v/>
      </c>
      <c r="B319" s="58" t="n"/>
      <c r="C319" s="38" t="n"/>
      <c r="D319" s="38" t="n"/>
      <c r="E319" s="41" t="n"/>
      <c r="F319" s="57">
        <f>IF(D319="","",IFERROR(INDEX(Referensi!$J$5:$J$30,MATCH(D319,Referensi!$I$5:$I$30,0)),"?"))</f>
        <v/>
      </c>
      <c r="G319" s="38" t="n"/>
      <c r="H319" s="38" t="n"/>
      <c r="I319" s="38" t="n"/>
      <c r="J319" s="38" t="n"/>
    </row>
    <row r="320" ht="15" customHeight="1" s="33">
      <c r="A320" s="57">
        <f>IF(B320="","",ROW()-4)</f>
        <v/>
      </c>
      <c r="B320" s="58" t="n"/>
      <c r="C320" s="38" t="n"/>
      <c r="D320" s="38" t="n"/>
      <c r="E320" s="41" t="n"/>
      <c r="F320" s="57">
        <f>IF(D320="","",IFERROR(INDEX(Referensi!$J$5:$J$30,MATCH(D320,Referensi!$I$5:$I$30,0)),"?"))</f>
        <v/>
      </c>
      <c r="G320" s="38" t="n"/>
      <c r="H320" s="38" t="n"/>
      <c r="I320" s="38" t="n"/>
      <c r="J320" s="38" t="n"/>
    </row>
    <row r="321" ht="15" customHeight="1" s="33">
      <c r="A321" s="57">
        <f>IF(B321="","",ROW()-4)</f>
        <v/>
      </c>
      <c r="B321" s="58" t="n"/>
      <c r="C321" s="38" t="n"/>
      <c r="D321" s="38" t="n"/>
      <c r="E321" s="41" t="n"/>
      <c r="F321" s="57">
        <f>IF(D321="","",IFERROR(INDEX(Referensi!$J$5:$J$30,MATCH(D321,Referensi!$I$5:$I$30,0)),"?"))</f>
        <v/>
      </c>
      <c r="G321" s="38" t="n"/>
      <c r="H321" s="38" t="n"/>
      <c r="I321" s="38" t="n"/>
      <c r="J321" s="38" t="n"/>
    </row>
    <row r="322" ht="15" customHeight="1" s="33">
      <c r="A322" s="57">
        <f>IF(B322="","",ROW()-4)</f>
        <v/>
      </c>
      <c r="B322" s="58" t="n"/>
      <c r="C322" s="38" t="n"/>
      <c r="D322" s="38" t="n"/>
      <c r="E322" s="41" t="n"/>
      <c r="F322" s="57">
        <f>IF(D322="","",IFERROR(INDEX(Referensi!$J$5:$J$30,MATCH(D322,Referensi!$I$5:$I$30,0)),"?"))</f>
        <v/>
      </c>
      <c r="G322" s="38" t="n"/>
      <c r="H322" s="38" t="n"/>
      <c r="I322" s="38" t="n"/>
      <c r="J322" s="38" t="n"/>
    </row>
    <row r="323" ht="15" customHeight="1" s="33">
      <c r="A323" s="57">
        <f>IF(B323="","",ROW()-4)</f>
        <v/>
      </c>
      <c r="B323" s="58" t="n"/>
      <c r="C323" s="38" t="n"/>
      <c r="D323" s="38" t="n"/>
      <c r="E323" s="41" t="n"/>
      <c r="F323" s="57">
        <f>IF(D323="","",IFERROR(INDEX(Referensi!$J$5:$J$30,MATCH(D323,Referensi!$I$5:$I$30,0)),"?"))</f>
        <v/>
      </c>
      <c r="G323" s="38" t="n"/>
      <c r="H323" s="38" t="n"/>
      <c r="I323" s="38" t="n"/>
      <c r="J323" s="38" t="n"/>
    </row>
    <row r="324" ht="15" customHeight="1" s="33">
      <c r="A324" s="57">
        <f>IF(B324="","",ROW()-4)</f>
        <v/>
      </c>
      <c r="B324" s="58" t="n"/>
      <c r="C324" s="38" t="n"/>
      <c r="D324" s="38" t="n"/>
      <c r="E324" s="41" t="n"/>
      <c r="F324" s="57">
        <f>IF(D324="","",IFERROR(INDEX(Referensi!$J$5:$J$30,MATCH(D324,Referensi!$I$5:$I$30,0)),"?"))</f>
        <v/>
      </c>
      <c r="G324" s="38" t="n"/>
      <c r="H324" s="38" t="n"/>
      <c r="I324" s="38" t="n"/>
      <c r="J324" s="38" t="n"/>
    </row>
    <row r="325" ht="15" customHeight="1" s="33">
      <c r="A325" s="57">
        <f>IF(B325="","",ROW()-4)</f>
        <v/>
      </c>
      <c r="B325" s="58" t="n"/>
      <c r="C325" s="38" t="n"/>
      <c r="D325" s="38" t="n"/>
      <c r="E325" s="41" t="n"/>
      <c r="F325" s="57">
        <f>IF(D325="","",IFERROR(INDEX(Referensi!$J$5:$J$30,MATCH(D325,Referensi!$I$5:$I$30,0)),"?"))</f>
        <v/>
      </c>
      <c r="G325" s="38" t="n"/>
      <c r="H325" s="38" t="n"/>
      <c r="I325" s="38" t="n"/>
      <c r="J325" s="38" t="n"/>
    </row>
    <row r="326" ht="15" customHeight="1" s="33">
      <c r="A326" s="57">
        <f>IF(B326="","",ROW()-4)</f>
        <v/>
      </c>
      <c r="B326" s="58" t="n"/>
      <c r="C326" s="38" t="n"/>
      <c r="D326" s="38" t="n"/>
      <c r="E326" s="41" t="n"/>
      <c r="F326" s="57">
        <f>IF(D326="","",IFERROR(INDEX(Referensi!$J$5:$J$30,MATCH(D326,Referensi!$I$5:$I$30,0)),"?"))</f>
        <v/>
      </c>
      <c r="G326" s="38" t="n"/>
      <c r="H326" s="38" t="n"/>
      <c r="I326" s="38" t="n"/>
      <c r="J326" s="38" t="n"/>
    </row>
    <row r="327" ht="15" customHeight="1" s="33">
      <c r="A327" s="57">
        <f>IF(B327="","",ROW()-4)</f>
        <v/>
      </c>
      <c r="B327" s="58" t="n"/>
      <c r="C327" s="38" t="n"/>
      <c r="D327" s="38" t="n"/>
      <c r="E327" s="41" t="n"/>
      <c r="F327" s="57">
        <f>IF(D327="","",IFERROR(INDEX(Referensi!$J$5:$J$30,MATCH(D327,Referensi!$I$5:$I$30,0)),"?"))</f>
        <v/>
      </c>
      <c r="G327" s="38" t="n"/>
      <c r="H327" s="38" t="n"/>
      <c r="I327" s="38" t="n"/>
      <c r="J327" s="38" t="n"/>
    </row>
    <row r="328" ht="15" customHeight="1" s="33">
      <c r="A328" s="57">
        <f>IF(B328="","",ROW()-4)</f>
        <v/>
      </c>
      <c r="B328" s="58" t="n"/>
      <c r="C328" s="38" t="n"/>
      <c r="D328" s="38" t="n"/>
      <c r="E328" s="41" t="n"/>
      <c r="F328" s="57">
        <f>IF(D328="","",IFERROR(INDEX(Referensi!$J$5:$J$30,MATCH(D328,Referensi!$I$5:$I$30,0)),"?"))</f>
        <v/>
      </c>
      <c r="G328" s="38" t="n"/>
      <c r="H328" s="38" t="n"/>
      <c r="I328" s="38" t="n"/>
      <c r="J328" s="38" t="n"/>
    </row>
    <row r="329" ht="15" customHeight="1" s="33">
      <c r="A329" s="57">
        <f>IF(B329="","",ROW()-4)</f>
        <v/>
      </c>
      <c r="B329" s="58" t="n"/>
      <c r="C329" s="38" t="n"/>
      <c r="D329" s="38" t="n"/>
      <c r="E329" s="41" t="n"/>
      <c r="F329" s="57">
        <f>IF(D329="","",IFERROR(INDEX(Referensi!$J$5:$J$30,MATCH(D329,Referensi!$I$5:$I$30,0)),"?"))</f>
        <v/>
      </c>
      <c r="G329" s="38" t="n"/>
      <c r="H329" s="38" t="n"/>
      <c r="I329" s="38" t="n"/>
      <c r="J329" s="38" t="n"/>
    </row>
    <row r="330" ht="15" customHeight="1" s="33">
      <c r="A330" s="57">
        <f>IF(B330="","",ROW()-4)</f>
        <v/>
      </c>
      <c r="B330" s="58" t="n"/>
      <c r="C330" s="38" t="n"/>
      <c r="D330" s="38" t="n"/>
      <c r="E330" s="41" t="n"/>
      <c r="F330" s="57">
        <f>IF(D330="","",IFERROR(INDEX(Referensi!$J$5:$J$30,MATCH(D330,Referensi!$I$5:$I$30,0)),"?"))</f>
        <v/>
      </c>
      <c r="G330" s="38" t="n"/>
      <c r="H330" s="38" t="n"/>
      <c r="I330" s="38" t="n"/>
      <c r="J330" s="38" t="n"/>
    </row>
    <row r="331" ht="15" customHeight="1" s="33">
      <c r="A331" s="57">
        <f>IF(B331="","",ROW()-4)</f>
        <v/>
      </c>
      <c r="B331" s="58" t="n"/>
      <c r="C331" s="38" t="n"/>
      <c r="D331" s="38" t="n"/>
      <c r="E331" s="41" t="n"/>
      <c r="F331" s="57">
        <f>IF(D331="","",IFERROR(INDEX(Referensi!$J$5:$J$30,MATCH(D331,Referensi!$I$5:$I$30,0)),"?"))</f>
        <v/>
      </c>
      <c r="G331" s="38" t="n"/>
      <c r="H331" s="38" t="n"/>
      <c r="I331" s="38" t="n"/>
      <c r="J331" s="38" t="n"/>
    </row>
    <row r="332" ht="15" customHeight="1" s="33">
      <c r="A332" s="57">
        <f>IF(B332="","",ROW()-4)</f>
        <v/>
      </c>
      <c r="B332" s="58" t="n"/>
      <c r="C332" s="38" t="n"/>
      <c r="D332" s="38" t="n"/>
      <c r="E332" s="41" t="n"/>
      <c r="F332" s="57">
        <f>IF(D332="","",IFERROR(INDEX(Referensi!$J$5:$J$30,MATCH(D332,Referensi!$I$5:$I$30,0)),"?"))</f>
        <v/>
      </c>
      <c r="G332" s="38" t="n"/>
      <c r="H332" s="38" t="n"/>
      <c r="I332" s="38" t="n"/>
      <c r="J332" s="38" t="n"/>
    </row>
    <row r="333" ht="15" customHeight="1" s="33">
      <c r="A333" s="57">
        <f>IF(B333="","",ROW()-4)</f>
        <v/>
      </c>
      <c r="B333" s="58" t="n"/>
      <c r="C333" s="38" t="n"/>
      <c r="D333" s="38" t="n"/>
      <c r="E333" s="41" t="n"/>
      <c r="F333" s="57">
        <f>IF(D333="","",IFERROR(INDEX(Referensi!$J$5:$J$30,MATCH(D333,Referensi!$I$5:$I$30,0)),"?"))</f>
        <v/>
      </c>
      <c r="G333" s="38" t="n"/>
      <c r="H333" s="38" t="n"/>
      <c r="I333" s="38" t="n"/>
      <c r="J333" s="38" t="n"/>
    </row>
    <row r="334" ht="15" customHeight="1" s="33">
      <c r="A334" s="57">
        <f>IF(B334="","",ROW()-4)</f>
        <v/>
      </c>
      <c r="B334" s="58" t="n"/>
      <c r="C334" s="38" t="n"/>
      <c r="D334" s="38" t="n"/>
      <c r="E334" s="41" t="n"/>
      <c r="F334" s="57">
        <f>IF(D334="","",IFERROR(INDEX(Referensi!$J$5:$J$30,MATCH(D334,Referensi!$I$5:$I$30,0)),"?"))</f>
        <v/>
      </c>
      <c r="G334" s="38" t="n"/>
      <c r="H334" s="38" t="n"/>
      <c r="I334" s="38" t="n"/>
      <c r="J334" s="38" t="n"/>
    </row>
    <row r="335" ht="15" customHeight="1" s="33">
      <c r="A335" s="57">
        <f>IF(B335="","",ROW()-4)</f>
        <v/>
      </c>
      <c r="B335" s="58" t="n"/>
      <c r="C335" s="38" t="n"/>
      <c r="D335" s="38" t="n"/>
      <c r="E335" s="41" t="n"/>
      <c r="F335" s="57">
        <f>IF(D335="","",IFERROR(INDEX(Referensi!$J$5:$J$30,MATCH(D335,Referensi!$I$5:$I$30,0)),"?"))</f>
        <v/>
      </c>
      <c r="G335" s="38" t="n"/>
      <c r="H335" s="38" t="n"/>
      <c r="I335" s="38" t="n"/>
      <c r="J335" s="38" t="n"/>
    </row>
    <row r="336" ht="15" customHeight="1" s="33">
      <c r="A336" s="57">
        <f>IF(B336="","",ROW()-4)</f>
        <v/>
      </c>
      <c r="B336" s="58" t="n"/>
      <c r="C336" s="38" t="n"/>
      <c r="D336" s="38" t="n"/>
      <c r="E336" s="41" t="n"/>
      <c r="F336" s="57">
        <f>IF(D336="","",IFERROR(INDEX(Referensi!$J$5:$J$30,MATCH(D336,Referensi!$I$5:$I$30,0)),"?"))</f>
        <v/>
      </c>
      <c r="G336" s="38" t="n"/>
      <c r="H336" s="38" t="n"/>
      <c r="I336" s="38" t="n"/>
      <c r="J336" s="38" t="n"/>
    </row>
    <row r="337" ht="15" customHeight="1" s="33">
      <c r="A337" s="57">
        <f>IF(B337="","",ROW()-4)</f>
        <v/>
      </c>
      <c r="B337" s="58" t="n"/>
      <c r="C337" s="38" t="n"/>
      <c r="D337" s="38" t="n"/>
      <c r="E337" s="41" t="n"/>
      <c r="F337" s="57">
        <f>IF(D337="","",IFERROR(INDEX(Referensi!$J$5:$J$30,MATCH(D337,Referensi!$I$5:$I$30,0)),"?"))</f>
        <v/>
      </c>
      <c r="G337" s="38" t="n"/>
      <c r="H337" s="38" t="n"/>
      <c r="I337" s="38" t="n"/>
      <c r="J337" s="38" t="n"/>
    </row>
    <row r="338" ht="15" customHeight="1" s="33">
      <c r="A338" s="57">
        <f>IF(B338="","",ROW()-4)</f>
        <v/>
      </c>
      <c r="B338" s="58" t="n"/>
      <c r="C338" s="38" t="n"/>
      <c r="D338" s="38" t="n"/>
      <c r="E338" s="41" t="n"/>
      <c r="F338" s="57">
        <f>IF(D338="","",IFERROR(INDEX(Referensi!$J$5:$J$30,MATCH(D338,Referensi!$I$5:$I$30,0)),"?"))</f>
        <v/>
      </c>
      <c r="G338" s="38" t="n"/>
      <c r="H338" s="38" t="n"/>
      <c r="I338" s="38" t="n"/>
      <c r="J338" s="38" t="n"/>
    </row>
    <row r="339" ht="15" customHeight="1" s="33">
      <c r="A339" s="57">
        <f>IF(B339="","",ROW()-4)</f>
        <v/>
      </c>
      <c r="B339" s="58" t="n"/>
      <c r="C339" s="38" t="n"/>
      <c r="D339" s="38" t="n"/>
      <c r="E339" s="41" t="n"/>
      <c r="F339" s="57">
        <f>IF(D339="","",IFERROR(INDEX(Referensi!$J$5:$J$30,MATCH(D339,Referensi!$I$5:$I$30,0)),"?"))</f>
        <v/>
      </c>
      <c r="G339" s="38" t="n"/>
      <c r="H339" s="38" t="n"/>
      <c r="I339" s="38" t="n"/>
      <c r="J339" s="38" t="n"/>
    </row>
    <row r="340" ht="15" customHeight="1" s="33">
      <c r="A340" s="57">
        <f>IF(B340="","",ROW()-4)</f>
        <v/>
      </c>
      <c r="B340" s="58" t="n"/>
      <c r="C340" s="38" t="n"/>
      <c r="D340" s="38" t="n"/>
      <c r="E340" s="41" t="n"/>
      <c r="F340" s="57">
        <f>IF(D340="","",IFERROR(INDEX(Referensi!$J$5:$J$30,MATCH(D340,Referensi!$I$5:$I$30,0)),"?"))</f>
        <v/>
      </c>
      <c r="G340" s="38" t="n"/>
      <c r="H340" s="38" t="n"/>
      <c r="I340" s="38" t="n"/>
      <c r="J340" s="38" t="n"/>
    </row>
    <row r="341" ht="15" customHeight="1" s="33">
      <c r="A341" s="57">
        <f>IF(B341="","",ROW()-4)</f>
        <v/>
      </c>
      <c r="B341" s="58" t="n"/>
      <c r="C341" s="38" t="n"/>
      <c r="D341" s="38" t="n"/>
      <c r="E341" s="41" t="n"/>
      <c r="F341" s="57">
        <f>IF(D341="","",IFERROR(INDEX(Referensi!$J$5:$J$30,MATCH(D341,Referensi!$I$5:$I$30,0)),"?"))</f>
        <v/>
      </c>
      <c r="G341" s="38" t="n"/>
      <c r="H341" s="38" t="n"/>
      <c r="I341" s="38" t="n"/>
      <c r="J341" s="38" t="n"/>
    </row>
    <row r="342" ht="15" customHeight="1" s="33">
      <c r="A342" s="57">
        <f>IF(B342="","",ROW()-4)</f>
        <v/>
      </c>
      <c r="B342" s="58" t="n"/>
      <c r="C342" s="38" t="n"/>
      <c r="D342" s="38" t="n"/>
      <c r="E342" s="41" t="n"/>
      <c r="F342" s="57">
        <f>IF(D342="","",IFERROR(INDEX(Referensi!$J$5:$J$30,MATCH(D342,Referensi!$I$5:$I$30,0)),"?"))</f>
        <v/>
      </c>
      <c r="G342" s="38" t="n"/>
      <c r="H342" s="38" t="n"/>
      <c r="I342" s="38" t="n"/>
      <c r="J342" s="38" t="n"/>
    </row>
    <row r="343" ht="15" customHeight="1" s="33">
      <c r="A343" s="57">
        <f>IF(B343="","",ROW()-4)</f>
        <v/>
      </c>
      <c r="B343" s="58" t="n"/>
      <c r="C343" s="38" t="n"/>
      <c r="D343" s="38" t="n"/>
      <c r="E343" s="41" t="n"/>
      <c r="F343" s="57">
        <f>IF(D343="","",IFERROR(INDEX(Referensi!$J$5:$J$30,MATCH(D343,Referensi!$I$5:$I$30,0)),"?"))</f>
        <v/>
      </c>
      <c r="G343" s="38" t="n"/>
      <c r="H343" s="38" t="n"/>
      <c r="I343" s="38" t="n"/>
      <c r="J343" s="38" t="n"/>
    </row>
    <row r="344" ht="15" customHeight="1" s="33">
      <c r="A344" s="57">
        <f>IF(B344="","",ROW()-4)</f>
        <v/>
      </c>
      <c r="B344" s="58" t="n"/>
      <c r="C344" s="38" t="n"/>
      <c r="D344" s="38" t="n"/>
      <c r="E344" s="41" t="n"/>
      <c r="F344" s="57">
        <f>IF(D344="","",IFERROR(INDEX(Referensi!$J$5:$J$30,MATCH(D344,Referensi!$I$5:$I$30,0)),"?"))</f>
        <v/>
      </c>
      <c r="G344" s="38" t="n"/>
      <c r="H344" s="38" t="n"/>
      <c r="I344" s="38" t="n"/>
      <c r="J344" s="38" t="n"/>
    </row>
    <row r="345" ht="15" customHeight="1" s="33">
      <c r="A345" s="57">
        <f>IF(B345="","",ROW()-4)</f>
        <v/>
      </c>
      <c r="B345" s="58" t="n"/>
      <c r="C345" s="38" t="n"/>
      <c r="D345" s="38" t="n"/>
      <c r="E345" s="41" t="n"/>
      <c r="F345" s="57">
        <f>IF(D345="","",IFERROR(INDEX(Referensi!$J$5:$J$30,MATCH(D345,Referensi!$I$5:$I$30,0)),"?"))</f>
        <v/>
      </c>
      <c r="G345" s="38" t="n"/>
      <c r="H345" s="38" t="n"/>
      <c r="I345" s="38" t="n"/>
      <c r="J345" s="38" t="n"/>
    </row>
    <row r="346" ht="15" customHeight="1" s="33">
      <c r="A346" s="57">
        <f>IF(B346="","",ROW()-4)</f>
        <v/>
      </c>
      <c r="B346" s="58" t="n"/>
      <c r="C346" s="38" t="n"/>
      <c r="D346" s="38" t="n"/>
      <c r="E346" s="41" t="n"/>
      <c r="F346" s="57">
        <f>IF(D346="","",IFERROR(INDEX(Referensi!$J$5:$J$30,MATCH(D346,Referensi!$I$5:$I$30,0)),"?"))</f>
        <v/>
      </c>
      <c r="G346" s="38" t="n"/>
      <c r="H346" s="38" t="n"/>
      <c r="I346" s="38" t="n"/>
      <c r="J346" s="38" t="n"/>
    </row>
    <row r="347" ht="15" customHeight="1" s="33">
      <c r="A347" s="57">
        <f>IF(B347="","",ROW()-4)</f>
        <v/>
      </c>
      <c r="B347" s="58" t="n"/>
      <c r="C347" s="38" t="n"/>
      <c r="D347" s="38" t="n"/>
      <c r="E347" s="41" t="n"/>
      <c r="F347" s="57">
        <f>IF(D347="","",IFERROR(INDEX(Referensi!$J$5:$J$30,MATCH(D347,Referensi!$I$5:$I$30,0)),"?"))</f>
        <v/>
      </c>
      <c r="G347" s="38" t="n"/>
      <c r="H347" s="38" t="n"/>
      <c r="I347" s="38" t="n"/>
      <c r="J347" s="38" t="n"/>
    </row>
    <row r="348" ht="15" customHeight="1" s="33">
      <c r="A348" s="57">
        <f>IF(B348="","",ROW()-4)</f>
        <v/>
      </c>
      <c r="B348" s="58" t="n"/>
      <c r="C348" s="38" t="n"/>
      <c r="D348" s="38" t="n"/>
      <c r="E348" s="41" t="n"/>
      <c r="F348" s="57">
        <f>IF(D348="","",IFERROR(INDEX(Referensi!$J$5:$J$30,MATCH(D348,Referensi!$I$5:$I$30,0)),"?"))</f>
        <v/>
      </c>
      <c r="G348" s="38" t="n"/>
      <c r="H348" s="38" t="n"/>
      <c r="I348" s="38" t="n"/>
      <c r="J348" s="38" t="n"/>
    </row>
    <row r="349" ht="15" customHeight="1" s="33">
      <c r="A349" s="57">
        <f>IF(B349="","",ROW()-4)</f>
        <v/>
      </c>
      <c r="B349" s="58" t="n"/>
      <c r="C349" s="38" t="n"/>
      <c r="D349" s="38" t="n"/>
      <c r="E349" s="41" t="n"/>
      <c r="F349" s="57">
        <f>IF(D349="","",IFERROR(INDEX(Referensi!$J$5:$J$30,MATCH(D349,Referensi!$I$5:$I$30,0)),"?"))</f>
        <v/>
      </c>
      <c r="G349" s="38" t="n"/>
      <c r="H349" s="38" t="n"/>
      <c r="I349" s="38" t="n"/>
      <c r="J349" s="38" t="n"/>
    </row>
    <row r="350" ht="15" customHeight="1" s="33">
      <c r="A350" s="57">
        <f>IF(B350="","",ROW()-4)</f>
        <v/>
      </c>
      <c r="B350" s="58" t="n"/>
      <c r="C350" s="38" t="n"/>
      <c r="D350" s="38" t="n"/>
      <c r="E350" s="41" t="n"/>
      <c r="F350" s="57">
        <f>IF(D350="","",IFERROR(INDEX(Referensi!$J$5:$J$30,MATCH(D350,Referensi!$I$5:$I$30,0)),"?"))</f>
        <v/>
      </c>
      <c r="G350" s="38" t="n"/>
      <c r="H350" s="38" t="n"/>
      <c r="I350" s="38" t="n"/>
      <c r="J350" s="38" t="n"/>
    </row>
    <row r="351" ht="15" customHeight="1" s="33">
      <c r="A351" s="57">
        <f>IF(B351="","",ROW()-4)</f>
        <v/>
      </c>
      <c r="B351" s="58" t="n"/>
      <c r="C351" s="38" t="n"/>
      <c r="D351" s="38" t="n"/>
      <c r="E351" s="41" t="n"/>
      <c r="F351" s="57">
        <f>IF(D351="","",IFERROR(INDEX(Referensi!$J$5:$J$30,MATCH(D351,Referensi!$I$5:$I$30,0)),"?"))</f>
        <v/>
      </c>
      <c r="G351" s="38" t="n"/>
      <c r="H351" s="38" t="n"/>
      <c r="I351" s="38" t="n"/>
      <c r="J351" s="38" t="n"/>
    </row>
    <row r="352" ht="15" customHeight="1" s="33">
      <c r="A352" s="57">
        <f>IF(B352="","",ROW()-4)</f>
        <v/>
      </c>
      <c r="B352" s="58" t="n"/>
      <c r="C352" s="38" t="n"/>
      <c r="D352" s="38" t="n"/>
      <c r="E352" s="41" t="n"/>
      <c r="F352" s="57">
        <f>IF(D352="","",IFERROR(INDEX(Referensi!$J$5:$J$30,MATCH(D352,Referensi!$I$5:$I$30,0)),"?"))</f>
        <v/>
      </c>
      <c r="G352" s="38" t="n"/>
      <c r="H352" s="38" t="n"/>
      <c r="I352" s="38" t="n"/>
      <c r="J352" s="38" t="n"/>
    </row>
    <row r="353" ht="15" customHeight="1" s="33">
      <c r="A353" s="57">
        <f>IF(B353="","",ROW()-4)</f>
        <v/>
      </c>
      <c r="B353" s="58" t="n"/>
      <c r="C353" s="38" t="n"/>
      <c r="D353" s="38" t="n"/>
      <c r="E353" s="41" t="n"/>
      <c r="F353" s="57">
        <f>IF(D353="","",IFERROR(INDEX(Referensi!$J$5:$J$30,MATCH(D353,Referensi!$I$5:$I$30,0)),"?"))</f>
        <v/>
      </c>
      <c r="G353" s="38" t="n"/>
      <c r="H353" s="38" t="n"/>
      <c r="I353" s="38" t="n"/>
      <c r="J353" s="38" t="n"/>
    </row>
    <row r="354" ht="15" customHeight="1" s="33">
      <c r="A354" s="57">
        <f>IF(B354="","",ROW()-4)</f>
        <v/>
      </c>
      <c r="B354" s="58" t="n"/>
      <c r="C354" s="38" t="n"/>
      <c r="D354" s="38" t="n"/>
      <c r="E354" s="41" t="n"/>
      <c r="F354" s="57">
        <f>IF(D354="","",IFERROR(INDEX(Referensi!$J$5:$J$30,MATCH(D354,Referensi!$I$5:$I$30,0)),"?"))</f>
        <v/>
      </c>
      <c r="G354" s="38" t="n"/>
      <c r="H354" s="38" t="n"/>
      <c r="I354" s="38" t="n"/>
      <c r="J354" s="38" t="n"/>
    </row>
    <row r="355" ht="15" customHeight="1" s="33">
      <c r="A355" s="57">
        <f>IF(B355="","",ROW()-4)</f>
        <v/>
      </c>
      <c r="B355" s="58" t="n"/>
      <c r="C355" s="38" t="n"/>
      <c r="D355" s="38" t="n"/>
      <c r="E355" s="41" t="n"/>
      <c r="F355" s="57">
        <f>IF(D355="","",IFERROR(INDEX(Referensi!$J$5:$J$30,MATCH(D355,Referensi!$I$5:$I$30,0)),"?"))</f>
        <v/>
      </c>
      <c r="G355" s="38" t="n"/>
      <c r="H355" s="38" t="n"/>
      <c r="I355" s="38" t="n"/>
      <c r="J355" s="38" t="n"/>
    </row>
    <row r="356" ht="15" customHeight="1" s="33">
      <c r="A356" s="57">
        <f>IF(B356="","",ROW()-4)</f>
        <v/>
      </c>
      <c r="B356" s="58" t="n"/>
      <c r="C356" s="38" t="n"/>
      <c r="D356" s="38" t="n"/>
      <c r="E356" s="41" t="n"/>
      <c r="F356" s="57">
        <f>IF(D356="","",IFERROR(INDEX(Referensi!$J$5:$J$30,MATCH(D356,Referensi!$I$5:$I$30,0)),"?"))</f>
        <v/>
      </c>
      <c r="G356" s="38" t="n"/>
      <c r="H356" s="38" t="n"/>
      <c r="I356" s="38" t="n"/>
      <c r="J356" s="38" t="n"/>
    </row>
    <row r="357" ht="15" customHeight="1" s="33">
      <c r="A357" s="57">
        <f>IF(B357="","",ROW()-4)</f>
        <v/>
      </c>
      <c r="B357" s="58" t="n"/>
      <c r="C357" s="38" t="n"/>
      <c r="D357" s="38" t="n"/>
      <c r="E357" s="41" t="n"/>
      <c r="F357" s="57">
        <f>IF(D357="","",IFERROR(INDEX(Referensi!$J$5:$J$30,MATCH(D357,Referensi!$I$5:$I$30,0)),"?"))</f>
        <v/>
      </c>
      <c r="G357" s="38" t="n"/>
      <c r="H357" s="38" t="n"/>
      <c r="I357" s="38" t="n"/>
      <c r="J357" s="38" t="n"/>
    </row>
    <row r="358" ht="15" customHeight="1" s="33">
      <c r="A358" s="57">
        <f>IF(B358="","",ROW()-4)</f>
        <v/>
      </c>
      <c r="B358" s="58" t="n"/>
      <c r="C358" s="38" t="n"/>
      <c r="D358" s="38" t="n"/>
      <c r="E358" s="41" t="n"/>
      <c r="F358" s="57">
        <f>IF(D358="","",IFERROR(INDEX(Referensi!$J$5:$J$30,MATCH(D358,Referensi!$I$5:$I$30,0)),"?"))</f>
        <v/>
      </c>
      <c r="G358" s="38" t="n"/>
      <c r="H358" s="38" t="n"/>
      <c r="I358" s="38" t="n"/>
      <c r="J358" s="38" t="n"/>
    </row>
    <row r="359" ht="15" customHeight="1" s="33">
      <c r="A359" s="57">
        <f>IF(B359="","",ROW()-4)</f>
        <v/>
      </c>
      <c r="B359" s="58" t="n"/>
      <c r="C359" s="38" t="n"/>
      <c r="D359" s="38" t="n"/>
      <c r="E359" s="41" t="n"/>
      <c r="F359" s="57">
        <f>IF(D359="","",IFERROR(INDEX(Referensi!$J$5:$J$30,MATCH(D359,Referensi!$I$5:$I$30,0)),"?"))</f>
        <v/>
      </c>
      <c r="G359" s="38" t="n"/>
      <c r="H359" s="38" t="n"/>
      <c r="I359" s="38" t="n"/>
      <c r="J359" s="38" t="n"/>
    </row>
    <row r="360" ht="15" customHeight="1" s="33">
      <c r="A360" s="57">
        <f>IF(B360="","",ROW()-4)</f>
        <v/>
      </c>
      <c r="B360" s="58" t="n"/>
      <c r="C360" s="38" t="n"/>
      <c r="D360" s="38" t="n"/>
      <c r="E360" s="41" t="n"/>
      <c r="F360" s="57">
        <f>IF(D360="","",IFERROR(INDEX(Referensi!$J$5:$J$30,MATCH(D360,Referensi!$I$5:$I$30,0)),"?"))</f>
        <v/>
      </c>
      <c r="G360" s="38" t="n"/>
      <c r="H360" s="38" t="n"/>
      <c r="I360" s="38" t="n"/>
      <c r="J360" s="38" t="n"/>
    </row>
    <row r="361" ht="15" customHeight="1" s="33">
      <c r="A361" s="57">
        <f>IF(B361="","",ROW()-4)</f>
        <v/>
      </c>
      <c r="B361" s="58" t="n"/>
      <c r="C361" s="38" t="n"/>
      <c r="D361" s="38" t="n"/>
      <c r="E361" s="41" t="n"/>
      <c r="F361" s="57">
        <f>IF(D361="","",IFERROR(INDEX(Referensi!$J$5:$J$30,MATCH(D361,Referensi!$I$5:$I$30,0)),"?"))</f>
        <v/>
      </c>
      <c r="G361" s="38" t="n"/>
      <c r="H361" s="38" t="n"/>
      <c r="I361" s="38" t="n"/>
      <c r="J361" s="38" t="n"/>
    </row>
    <row r="362" ht="15" customHeight="1" s="33">
      <c r="A362" s="57">
        <f>IF(B362="","",ROW()-4)</f>
        <v/>
      </c>
      <c r="B362" s="58" t="n"/>
      <c r="C362" s="38" t="n"/>
      <c r="D362" s="38" t="n"/>
      <c r="E362" s="41" t="n"/>
      <c r="F362" s="57">
        <f>IF(D362="","",IFERROR(INDEX(Referensi!$J$5:$J$30,MATCH(D362,Referensi!$I$5:$I$30,0)),"?"))</f>
        <v/>
      </c>
      <c r="G362" s="38" t="n"/>
      <c r="H362" s="38" t="n"/>
      <c r="I362" s="38" t="n"/>
      <c r="J362" s="38" t="n"/>
    </row>
    <row r="363" ht="15" customHeight="1" s="33">
      <c r="A363" s="57">
        <f>IF(B363="","",ROW()-4)</f>
        <v/>
      </c>
      <c r="B363" s="58" t="n"/>
      <c r="C363" s="38" t="n"/>
      <c r="D363" s="38" t="n"/>
      <c r="E363" s="41" t="n"/>
      <c r="F363" s="57">
        <f>IF(D363="","",IFERROR(INDEX(Referensi!$J$5:$J$30,MATCH(D363,Referensi!$I$5:$I$30,0)),"?"))</f>
        <v/>
      </c>
      <c r="G363" s="38" t="n"/>
      <c r="H363" s="38" t="n"/>
      <c r="I363" s="38" t="n"/>
      <c r="J363" s="38" t="n"/>
    </row>
    <row r="364" ht="15" customHeight="1" s="33">
      <c r="A364" s="57">
        <f>IF(B364="","",ROW()-4)</f>
        <v/>
      </c>
      <c r="B364" s="58" t="n"/>
      <c r="C364" s="38" t="n"/>
      <c r="D364" s="38" t="n"/>
      <c r="E364" s="41" t="n"/>
      <c r="F364" s="57">
        <f>IF(D364="","",IFERROR(INDEX(Referensi!$J$5:$J$30,MATCH(D364,Referensi!$I$5:$I$30,0)),"?"))</f>
        <v/>
      </c>
      <c r="G364" s="38" t="n"/>
      <c r="H364" s="38" t="n"/>
      <c r="I364" s="38" t="n"/>
      <c r="J364" s="38" t="n"/>
    </row>
    <row r="365" ht="15" customHeight="1" s="33">
      <c r="A365" s="57">
        <f>IF(B365="","",ROW()-4)</f>
        <v/>
      </c>
      <c r="B365" s="58" t="n"/>
      <c r="C365" s="38" t="n"/>
      <c r="D365" s="38" t="n"/>
      <c r="E365" s="41" t="n"/>
      <c r="F365" s="57">
        <f>IF(D365="","",IFERROR(INDEX(Referensi!$J$5:$J$30,MATCH(D365,Referensi!$I$5:$I$30,0)),"?"))</f>
        <v/>
      </c>
      <c r="G365" s="38" t="n"/>
      <c r="H365" s="38" t="n"/>
      <c r="I365" s="38" t="n"/>
      <c r="J365" s="38" t="n"/>
    </row>
    <row r="366" ht="15" customHeight="1" s="33">
      <c r="A366" s="57">
        <f>IF(B366="","",ROW()-4)</f>
        <v/>
      </c>
      <c r="B366" s="58" t="n"/>
      <c r="C366" s="38" t="n"/>
      <c r="D366" s="38" t="n"/>
      <c r="E366" s="41" t="n"/>
      <c r="F366" s="57">
        <f>IF(D366="","",IFERROR(INDEX(Referensi!$J$5:$J$30,MATCH(D366,Referensi!$I$5:$I$30,0)),"?"))</f>
        <v/>
      </c>
      <c r="G366" s="38" t="n"/>
      <c r="H366" s="38" t="n"/>
      <c r="I366" s="38" t="n"/>
      <c r="J366" s="38" t="n"/>
    </row>
    <row r="367" ht="15" customHeight="1" s="33">
      <c r="A367" s="57">
        <f>IF(B367="","",ROW()-4)</f>
        <v/>
      </c>
      <c r="B367" s="58" t="n"/>
      <c r="C367" s="38" t="n"/>
      <c r="D367" s="38" t="n"/>
      <c r="E367" s="41" t="n"/>
      <c r="F367" s="57">
        <f>IF(D367="","",IFERROR(INDEX(Referensi!$J$5:$J$30,MATCH(D367,Referensi!$I$5:$I$30,0)),"?"))</f>
        <v/>
      </c>
      <c r="G367" s="38" t="n"/>
      <c r="H367" s="38" t="n"/>
      <c r="I367" s="38" t="n"/>
      <c r="J367" s="38" t="n"/>
    </row>
    <row r="368" ht="15" customHeight="1" s="33">
      <c r="A368" s="57">
        <f>IF(B368="","",ROW()-4)</f>
        <v/>
      </c>
      <c r="B368" s="58" t="n"/>
      <c r="C368" s="38" t="n"/>
      <c r="D368" s="38" t="n"/>
      <c r="E368" s="41" t="n"/>
      <c r="F368" s="57">
        <f>IF(D368="","",IFERROR(INDEX(Referensi!$J$5:$J$30,MATCH(D368,Referensi!$I$5:$I$30,0)),"?"))</f>
        <v/>
      </c>
      <c r="G368" s="38" t="n"/>
      <c r="H368" s="38" t="n"/>
      <c r="I368" s="38" t="n"/>
      <c r="J368" s="38" t="n"/>
    </row>
    <row r="369" ht="15" customHeight="1" s="33">
      <c r="A369" s="57">
        <f>IF(B369="","",ROW()-4)</f>
        <v/>
      </c>
      <c r="B369" s="58" t="n"/>
      <c r="C369" s="38" t="n"/>
      <c r="D369" s="38" t="n"/>
      <c r="E369" s="41" t="n"/>
      <c r="F369" s="57">
        <f>IF(D369="","",IFERROR(INDEX(Referensi!$J$5:$J$30,MATCH(D369,Referensi!$I$5:$I$30,0)),"?"))</f>
        <v/>
      </c>
      <c r="G369" s="38" t="n"/>
      <c r="H369" s="38" t="n"/>
      <c r="I369" s="38" t="n"/>
      <c r="J369" s="38" t="n"/>
    </row>
    <row r="370" ht="15" customHeight="1" s="33">
      <c r="A370" s="57">
        <f>IF(B370="","",ROW()-4)</f>
        <v/>
      </c>
      <c r="B370" s="58" t="n"/>
      <c r="C370" s="38" t="n"/>
      <c r="D370" s="38" t="n"/>
      <c r="E370" s="41" t="n"/>
      <c r="F370" s="57">
        <f>IF(D370="","",IFERROR(INDEX(Referensi!$J$5:$J$30,MATCH(D370,Referensi!$I$5:$I$30,0)),"?"))</f>
        <v/>
      </c>
      <c r="G370" s="38" t="n"/>
      <c r="H370" s="38" t="n"/>
      <c r="I370" s="38" t="n"/>
      <c r="J370" s="38" t="n"/>
    </row>
    <row r="371" ht="15" customHeight="1" s="33">
      <c r="A371" s="57">
        <f>IF(B371="","",ROW()-4)</f>
        <v/>
      </c>
      <c r="B371" s="58" t="n"/>
      <c r="C371" s="38" t="n"/>
      <c r="D371" s="38" t="n"/>
      <c r="E371" s="41" t="n"/>
      <c r="F371" s="57">
        <f>IF(D371="","",IFERROR(INDEX(Referensi!$J$5:$J$30,MATCH(D371,Referensi!$I$5:$I$30,0)),"?"))</f>
        <v/>
      </c>
      <c r="G371" s="38" t="n"/>
      <c r="H371" s="38" t="n"/>
      <c r="I371" s="38" t="n"/>
      <c r="J371" s="38" t="n"/>
    </row>
    <row r="372" ht="15" customHeight="1" s="33">
      <c r="A372" s="57">
        <f>IF(B372="","",ROW()-4)</f>
        <v/>
      </c>
      <c r="B372" s="58" t="n"/>
      <c r="C372" s="38" t="n"/>
      <c r="D372" s="38" t="n"/>
      <c r="E372" s="41" t="n"/>
      <c r="F372" s="57">
        <f>IF(D372="","",IFERROR(INDEX(Referensi!$J$5:$J$30,MATCH(D372,Referensi!$I$5:$I$30,0)),"?"))</f>
        <v/>
      </c>
      <c r="G372" s="38" t="n"/>
      <c r="H372" s="38" t="n"/>
      <c r="I372" s="38" t="n"/>
      <c r="J372" s="38" t="n"/>
    </row>
    <row r="373" ht="15" customHeight="1" s="33">
      <c r="A373" s="57">
        <f>IF(B373="","",ROW()-4)</f>
        <v/>
      </c>
      <c r="B373" s="58" t="n"/>
      <c r="C373" s="38" t="n"/>
      <c r="D373" s="38" t="n"/>
      <c r="E373" s="41" t="n"/>
      <c r="F373" s="57">
        <f>IF(D373="","",IFERROR(INDEX(Referensi!$J$5:$J$30,MATCH(D373,Referensi!$I$5:$I$30,0)),"?"))</f>
        <v/>
      </c>
      <c r="G373" s="38" t="n"/>
      <c r="H373" s="38" t="n"/>
      <c r="I373" s="38" t="n"/>
      <c r="J373" s="38" t="n"/>
    </row>
    <row r="374" ht="15" customHeight="1" s="33">
      <c r="A374" s="57">
        <f>IF(B374="","",ROW()-4)</f>
        <v/>
      </c>
      <c r="B374" s="58" t="n"/>
      <c r="C374" s="38" t="n"/>
      <c r="D374" s="38" t="n"/>
      <c r="E374" s="41" t="n"/>
      <c r="F374" s="57">
        <f>IF(D374="","",IFERROR(INDEX(Referensi!$J$5:$J$30,MATCH(D374,Referensi!$I$5:$I$30,0)),"?"))</f>
        <v/>
      </c>
      <c r="G374" s="38" t="n"/>
      <c r="H374" s="38" t="n"/>
      <c r="I374" s="38" t="n"/>
      <c r="J374" s="38" t="n"/>
    </row>
    <row r="375" ht="15" customHeight="1" s="33">
      <c r="A375" s="57">
        <f>IF(B375="","",ROW()-4)</f>
        <v/>
      </c>
      <c r="B375" s="58" t="n"/>
      <c r="C375" s="38" t="n"/>
      <c r="D375" s="38" t="n"/>
      <c r="E375" s="41" t="n"/>
      <c r="F375" s="57">
        <f>IF(D375="","",IFERROR(INDEX(Referensi!$J$5:$J$30,MATCH(D375,Referensi!$I$5:$I$30,0)),"?"))</f>
        <v/>
      </c>
      <c r="G375" s="38" t="n"/>
      <c r="H375" s="38" t="n"/>
      <c r="I375" s="38" t="n"/>
      <c r="J375" s="38" t="n"/>
    </row>
    <row r="376" ht="15" customHeight="1" s="33">
      <c r="A376" s="57">
        <f>IF(B376="","",ROW()-4)</f>
        <v/>
      </c>
      <c r="B376" s="58" t="n"/>
      <c r="C376" s="38" t="n"/>
      <c r="D376" s="38" t="n"/>
      <c r="E376" s="41" t="n"/>
      <c r="F376" s="57">
        <f>IF(D376="","",IFERROR(INDEX(Referensi!$J$5:$J$30,MATCH(D376,Referensi!$I$5:$I$30,0)),"?"))</f>
        <v/>
      </c>
      <c r="G376" s="38" t="n"/>
      <c r="H376" s="38" t="n"/>
      <c r="I376" s="38" t="n"/>
      <c r="J376" s="38" t="n"/>
    </row>
    <row r="377" ht="15" customHeight="1" s="33">
      <c r="A377" s="57">
        <f>IF(B377="","",ROW()-4)</f>
        <v/>
      </c>
      <c r="B377" s="58" t="n"/>
      <c r="C377" s="38" t="n"/>
      <c r="D377" s="38" t="n"/>
      <c r="E377" s="41" t="n"/>
      <c r="F377" s="57">
        <f>IF(D377="","",IFERROR(INDEX(Referensi!$J$5:$J$30,MATCH(D377,Referensi!$I$5:$I$30,0)),"?"))</f>
        <v/>
      </c>
      <c r="G377" s="38" t="n"/>
      <c r="H377" s="38" t="n"/>
      <c r="I377" s="38" t="n"/>
      <c r="J377" s="38" t="n"/>
    </row>
    <row r="378" ht="15" customHeight="1" s="33">
      <c r="A378" s="57">
        <f>IF(B378="","",ROW()-4)</f>
        <v/>
      </c>
      <c r="B378" s="58" t="n"/>
      <c r="C378" s="38" t="n"/>
      <c r="D378" s="38" t="n"/>
      <c r="E378" s="41" t="n"/>
      <c r="F378" s="57">
        <f>IF(D378="","",IFERROR(INDEX(Referensi!$J$5:$J$30,MATCH(D378,Referensi!$I$5:$I$30,0)),"?"))</f>
        <v/>
      </c>
      <c r="G378" s="38" t="n"/>
      <c r="H378" s="38" t="n"/>
      <c r="I378" s="38" t="n"/>
      <c r="J378" s="38" t="n"/>
    </row>
    <row r="379" ht="15" customHeight="1" s="33">
      <c r="A379" s="57">
        <f>IF(B379="","",ROW()-4)</f>
        <v/>
      </c>
      <c r="B379" s="58" t="n"/>
      <c r="C379" s="38" t="n"/>
      <c r="D379" s="38" t="n"/>
      <c r="E379" s="41" t="n"/>
      <c r="F379" s="57">
        <f>IF(D379="","",IFERROR(INDEX(Referensi!$J$5:$J$30,MATCH(D379,Referensi!$I$5:$I$30,0)),"?"))</f>
        <v/>
      </c>
      <c r="G379" s="38" t="n"/>
      <c r="H379" s="38" t="n"/>
      <c r="I379" s="38" t="n"/>
      <c r="J379" s="38" t="n"/>
    </row>
    <row r="380" ht="15" customHeight="1" s="33">
      <c r="A380" s="57">
        <f>IF(B380="","",ROW()-4)</f>
        <v/>
      </c>
      <c r="B380" s="58" t="n"/>
      <c r="C380" s="38" t="n"/>
      <c r="D380" s="38" t="n"/>
      <c r="E380" s="41" t="n"/>
      <c r="F380" s="57">
        <f>IF(D380="","",IFERROR(INDEX(Referensi!$J$5:$J$30,MATCH(D380,Referensi!$I$5:$I$30,0)),"?"))</f>
        <v/>
      </c>
      <c r="G380" s="38" t="n"/>
      <c r="H380" s="38" t="n"/>
      <c r="I380" s="38" t="n"/>
      <c r="J380" s="38" t="n"/>
    </row>
    <row r="381" ht="15" customHeight="1" s="33">
      <c r="A381" s="57">
        <f>IF(B381="","",ROW()-4)</f>
        <v/>
      </c>
      <c r="B381" s="58" t="n"/>
      <c r="C381" s="38" t="n"/>
      <c r="D381" s="38" t="n"/>
      <c r="E381" s="41" t="n"/>
      <c r="F381" s="57">
        <f>IF(D381="","",IFERROR(INDEX(Referensi!$J$5:$J$30,MATCH(D381,Referensi!$I$5:$I$30,0)),"?"))</f>
        <v/>
      </c>
      <c r="G381" s="38" t="n"/>
      <c r="H381" s="38" t="n"/>
      <c r="I381" s="38" t="n"/>
      <c r="J381" s="38" t="n"/>
    </row>
    <row r="382" ht="15" customHeight="1" s="33">
      <c r="A382" s="57">
        <f>IF(B382="","",ROW()-4)</f>
        <v/>
      </c>
      <c r="B382" s="58" t="n"/>
      <c r="C382" s="38" t="n"/>
      <c r="D382" s="38" t="n"/>
      <c r="E382" s="41" t="n"/>
      <c r="F382" s="57">
        <f>IF(D382="","",IFERROR(INDEX(Referensi!$J$5:$J$30,MATCH(D382,Referensi!$I$5:$I$30,0)),"?"))</f>
        <v/>
      </c>
      <c r="G382" s="38" t="n"/>
      <c r="H382" s="38" t="n"/>
      <c r="I382" s="38" t="n"/>
      <c r="J382" s="38" t="n"/>
    </row>
    <row r="383" ht="15" customHeight="1" s="33">
      <c r="A383" s="57">
        <f>IF(B383="","",ROW()-4)</f>
        <v/>
      </c>
      <c r="B383" s="58" t="n"/>
      <c r="C383" s="38" t="n"/>
      <c r="D383" s="38" t="n"/>
      <c r="E383" s="41" t="n"/>
      <c r="F383" s="57">
        <f>IF(D383="","",IFERROR(INDEX(Referensi!$J$5:$J$30,MATCH(D383,Referensi!$I$5:$I$30,0)),"?"))</f>
        <v/>
      </c>
      <c r="G383" s="38" t="n"/>
      <c r="H383" s="38" t="n"/>
      <c r="I383" s="38" t="n"/>
      <c r="J383" s="38" t="n"/>
    </row>
    <row r="384" ht="15" customHeight="1" s="33">
      <c r="A384" s="57">
        <f>IF(B384="","",ROW()-4)</f>
        <v/>
      </c>
      <c r="B384" s="58" t="n"/>
      <c r="C384" s="38" t="n"/>
      <c r="D384" s="38" t="n"/>
      <c r="E384" s="41" t="n"/>
      <c r="F384" s="57">
        <f>IF(D384="","",IFERROR(INDEX(Referensi!$J$5:$J$30,MATCH(D384,Referensi!$I$5:$I$30,0)),"?"))</f>
        <v/>
      </c>
      <c r="G384" s="38" t="n"/>
      <c r="H384" s="38" t="n"/>
      <c r="I384" s="38" t="n"/>
      <c r="J384" s="38" t="n"/>
    </row>
    <row r="385" ht="15" customHeight="1" s="33">
      <c r="A385" s="57">
        <f>IF(B385="","",ROW()-4)</f>
        <v/>
      </c>
      <c r="B385" s="58" t="n"/>
      <c r="C385" s="38" t="n"/>
      <c r="D385" s="38" t="n"/>
      <c r="E385" s="41" t="n"/>
      <c r="F385" s="57">
        <f>IF(D385="","",IFERROR(INDEX(Referensi!$J$5:$J$30,MATCH(D385,Referensi!$I$5:$I$30,0)),"?"))</f>
        <v/>
      </c>
      <c r="G385" s="38" t="n"/>
      <c r="H385" s="38" t="n"/>
      <c r="I385" s="38" t="n"/>
      <c r="J385" s="38" t="n"/>
    </row>
    <row r="386" ht="15" customHeight="1" s="33">
      <c r="A386" s="57">
        <f>IF(B386="","",ROW()-4)</f>
        <v/>
      </c>
      <c r="B386" s="58" t="n"/>
      <c r="C386" s="38" t="n"/>
      <c r="D386" s="38" t="n"/>
      <c r="E386" s="41" t="n"/>
      <c r="F386" s="57">
        <f>IF(D386="","",IFERROR(INDEX(Referensi!$J$5:$J$30,MATCH(D386,Referensi!$I$5:$I$30,0)),"?"))</f>
        <v/>
      </c>
      <c r="G386" s="38" t="n"/>
      <c r="H386" s="38" t="n"/>
      <c r="I386" s="38" t="n"/>
      <c r="J386" s="38" t="n"/>
    </row>
    <row r="387" ht="15" customHeight="1" s="33">
      <c r="A387" s="57">
        <f>IF(B387="","",ROW()-4)</f>
        <v/>
      </c>
      <c r="B387" s="58" t="n"/>
      <c r="C387" s="38" t="n"/>
      <c r="D387" s="38" t="n"/>
      <c r="E387" s="41" t="n"/>
      <c r="F387" s="57">
        <f>IF(D387="","",IFERROR(INDEX(Referensi!$J$5:$J$30,MATCH(D387,Referensi!$I$5:$I$30,0)),"?"))</f>
        <v/>
      </c>
      <c r="G387" s="38" t="n"/>
      <c r="H387" s="38" t="n"/>
      <c r="I387" s="38" t="n"/>
      <c r="J387" s="38" t="n"/>
    </row>
    <row r="388" ht="15" customHeight="1" s="33">
      <c r="A388" s="57">
        <f>IF(B388="","",ROW()-4)</f>
        <v/>
      </c>
      <c r="B388" s="58" t="n"/>
      <c r="C388" s="38" t="n"/>
      <c r="D388" s="38" t="n"/>
      <c r="E388" s="41" t="n"/>
      <c r="F388" s="57">
        <f>IF(D388="","",IFERROR(INDEX(Referensi!$J$5:$J$30,MATCH(D388,Referensi!$I$5:$I$30,0)),"?"))</f>
        <v/>
      </c>
      <c r="G388" s="38" t="n"/>
      <c r="H388" s="38" t="n"/>
      <c r="I388" s="38" t="n"/>
      <c r="J388" s="38" t="n"/>
    </row>
    <row r="389" ht="15" customHeight="1" s="33">
      <c r="A389" s="57">
        <f>IF(B389="","",ROW()-4)</f>
        <v/>
      </c>
      <c r="B389" s="58" t="n"/>
      <c r="C389" s="38" t="n"/>
      <c r="D389" s="38" t="n"/>
      <c r="E389" s="41" t="n"/>
      <c r="F389" s="57">
        <f>IF(D389="","",IFERROR(INDEX(Referensi!$J$5:$J$30,MATCH(D389,Referensi!$I$5:$I$30,0)),"?"))</f>
        <v/>
      </c>
      <c r="G389" s="38" t="n"/>
      <c r="H389" s="38" t="n"/>
      <c r="I389" s="38" t="n"/>
      <c r="J389" s="38" t="n"/>
    </row>
    <row r="390" ht="15" customHeight="1" s="33">
      <c r="A390" s="57">
        <f>IF(B390="","",ROW()-4)</f>
        <v/>
      </c>
      <c r="B390" s="58" t="n"/>
      <c r="C390" s="38" t="n"/>
      <c r="D390" s="38" t="n"/>
      <c r="E390" s="41" t="n"/>
      <c r="F390" s="57">
        <f>IF(D390="","",IFERROR(INDEX(Referensi!$J$5:$J$30,MATCH(D390,Referensi!$I$5:$I$30,0)),"?"))</f>
        <v/>
      </c>
      <c r="G390" s="38" t="n"/>
      <c r="H390" s="38" t="n"/>
      <c r="I390" s="38" t="n"/>
      <c r="J390" s="38" t="n"/>
    </row>
    <row r="391" ht="15" customHeight="1" s="33">
      <c r="A391" s="57">
        <f>IF(B391="","",ROW()-4)</f>
        <v/>
      </c>
      <c r="B391" s="58" t="n"/>
      <c r="C391" s="38" t="n"/>
      <c r="D391" s="38" t="n"/>
      <c r="E391" s="41" t="n"/>
      <c r="F391" s="57">
        <f>IF(D391="","",IFERROR(INDEX(Referensi!$J$5:$J$30,MATCH(D391,Referensi!$I$5:$I$30,0)),"?"))</f>
        <v/>
      </c>
      <c r="G391" s="38" t="n"/>
      <c r="H391" s="38" t="n"/>
      <c r="I391" s="38" t="n"/>
      <c r="J391" s="38" t="n"/>
    </row>
    <row r="392" ht="15" customHeight="1" s="33">
      <c r="A392" s="57">
        <f>IF(B392="","",ROW()-4)</f>
        <v/>
      </c>
      <c r="B392" s="58" t="n"/>
      <c r="C392" s="38" t="n"/>
      <c r="D392" s="38" t="n"/>
      <c r="E392" s="41" t="n"/>
      <c r="F392" s="57">
        <f>IF(D392="","",IFERROR(INDEX(Referensi!$J$5:$J$30,MATCH(D392,Referensi!$I$5:$I$30,0)),"?"))</f>
        <v/>
      </c>
      <c r="G392" s="38" t="n"/>
      <c r="H392" s="38" t="n"/>
      <c r="I392" s="38" t="n"/>
      <c r="J392" s="38" t="n"/>
    </row>
    <row r="393" ht="15" customHeight="1" s="33">
      <c r="A393" s="57">
        <f>IF(B393="","",ROW()-4)</f>
        <v/>
      </c>
      <c r="B393" s="58" t="n"/>
      <c r="C393" s="38" t="n"/>
      <c r="D393" s="38" t="n"/>
      <c r="E393" s="41" t="n"/>
      <c r="F393" s="57">
        <f>IF(D393="","",IFERROR(INDEX(Referensi!$J$5:$J$30,MATCH(D393,Referensi!$I$5:$I$30,0)),"?"))</f>
        <v/>
      </c>
      <c r="G393" s="38" t="n"/>
      <c r="H393" s="38" t="n"/>
      <c r="I393" s="38" t="n"/>
      <c r="J393" s="38" t="n"/>
    </row>
    <row r="394" ht="15" customHeight="1" s="33">
      <c r="A394" s="57">
        <f>IF(B394="","",ROW()-4)</f>
        <v/>
      </c>
      <c r="B394" s="58" t="n"/>
      <c r="C394" s="38" t="n"/>
      <c r="D394" s="38" t="n"/>
      <c r="E394" s="41" t="n"/>
      <c r="F394" s="57">
        <f>IF(D394="","",IFERROR(INDEX(Referensi!$J$5:$J$30,MATCH(D394,Referensi!$I$5:$I$30,0)),"?"))</f>
        <v/>
      </c>
      <c r="G394" s="38" t="n"/>
      <c r="H394" s="38" t="n"/>
      <c r="I394" s="38" t="n"/>
      <c r="J394" s="38" t="n"/>
    </row>
    <row r="395" ht="15" customHeight="1" s="33">
      <c r="A395" s="57">
        <f>IF(B395="","",ROW()-4)</f>
        <v/>
      </c>
      <c r="B395" s="58" t="n"/>
      <c r="C395" s="38" t="n"/>
      <c r="D395" s="38" t="n"/>
      <c r="E395" s="41" t="n"/>
      <c r="F395" s="57">
        <f>IF(D395="","",IFERROR(INDEX(Referensi!$J$5:$J$30,MATCH(D395,Referensi!$I$5:$I$30,0)),"?"))</f>
        <v/>
      </c>
      <c r="G395" s="38" t="n"/>
      <c r="H395" s="38" t="n"/>
      <c r="I395" s="38" t="n"/>
      <c r="J395" s="38" t="n"/>
    </row>
    <row r="396" ht="15" customHeight="1" s="33">
      <c r="A396" s="57">
        <f>IF(B396="","",ROW()-4)</f>
        <v/>
      </c>
      <c r="B396" s="58" t="n"/>
      <c r="C396" s="38" t="n"/>
      <c r="D396" s="38" t="n"/>
      <c r="E396" s="41" t="n"/>
      <c r="F396" s="57">
        <f>IF(D396="","",IFERROR(INDEX(Referensi!$J$5:$J$30,MATCH(D396,Referensi!$I$5:$I$30,0)),"?"))</f>
        <v/>
      </c>
      <c r="G396" s="38" t="n"/>
      <c r="H396" s="38" t="n"/>
      <c r="I396" s="38" t="n"/>
      <c r="J396" s="38" t="n"/>
    </row>
    <row r="397" ht="15" customHeight="1" s="33">
      <c r="A397" s="57">
        <f>IF(B397="","",ROW()-4)</f>
        <v/>
      </c>
      <c r="B397" s="58" t="n"/>
      <c r="C397" s="38" t="n"/>
      <c r="D397" s="38" t="n"/>
      <c r="E397" s="41" t="n"/>
      <c r="F397" s="57">
        <f>IF(D397="","",IFERROR(INDEX(Referensi!$J$5:$J$30,MATCH(D397,Referensi!$I$5:$I$30,0)),"?"))</f>
        <v/>
      </c>
      <c r="G397" s="38" t="n"/>
      <c r="H397" s="38" t="n"/>
      <c r="I397" s="38" t="n"/>
      <c r="J397" s="38" t="n"/>
    </row>
    <row r="398" ht="15" customHeight="1" s="33">
      <c r="A398" s="57">
        <f>IF(B398="","",ROW()-4)</f>
        <v/>
      </c>
      <c r="B398" s="58" t="n"/>
      <c r="C398" s="38" t="n"/>
      <c r="D398" s="38" t="n"/>
      <c r="E398" s="41" t="n"/>
      <c r="F398" s="57">
        <f>IF(D398="","",IFERROR(INDEX(Referensi!$J$5:$J$30,MATCH(D398,Referensi!$I$5:$I$30,0)),"?"))</f>
        <v/>
      </c>
      <c r="G398" s="38" t="n"/>
      <c r="H398" s="38" t="n"/>
      <c r="I398" s="38" t="n"/>
      <c r="J398" s="38" t="n"/>
    </row>
    <row r="399" ht="15" customHeight="1" s="33">
      <c r="A399" s="57">
        <f>IF(B399="","",ROW()-4)</f>
        <v/>
      </c>
      <c r="B399" s="58" t="n"/>
      <c r="C399" s="38" t="n"/>
      <c r="D399" s="38" t="n"/>
      <c r="E399" s="41" t="n"/>
      <c r="F399" s="57">
        <f>IF(D399="","",IFERROR(INDEX(Referensi!$J$5:$J$30,MATCH(D399,Referensi!$I$5:$I$30,0)),"?"))</f>
        <v/>
      </c>
      <c r="G399" s="38" t="n"/>
      <c r="H399" s="38" t="n"/>
      <c r="I399" s="38" t="n"/>
      <c r="J399" s="38" t="n"/>
    </row>
    <row r="400" ht="15" customHeight="1" s="33">
      <c r="A400" s="57">
        <f>IF(B400="","",ROW()-4)</f>
        <v/>
      </c>
      <c r="B400" s="58" t="n"/>
      <c r="C400" s="38" t="n"/>
      <c r="D400" s="38" t="n"/>
      <c r="E400" s="41" t="n"/>
      <c r="F400" s="57">
        <f>IF(D400="","",IFERROR(INDEX(Referensi!$J$5:$J$30,MATCH(D400,Referensi!$I$5:$I$30,0)),"?"))</f>
        <v/>
      </c>
      <c r="G400" s="38" t="n"/>
      <c r="H400" s="38" t="n"/>
      <c r="I400" s="38" t="n"/>
      <c r="J400" s="38" t="n"/>
    </row>
    <row r="401" ht="15" customHeight="1" s="33">
      <c r="A401" s="57">
        <f>IF(B401="","",ROW()-4)</f>
        <v/>
      </c>
      <c r="B401" s="58" t="n"/>
      <c r="C401" s="38" t="n"/>
      <c r="D401" s="38" t="n"/>
      <c r="E401" s="41" t="n"/>
      <c r="F401" s="57">
        <f>IF(D401="","",IFERROR(INDEX(Referensi!$J$5:$J$30,MATCH(D401,Referensi!$I$5:$I$30,0)),"?"))</f>
        <v/>
      </c>
      <c r="G401" s="38" t="n"/>
      <c r="H401" s="38" t="n"/>
      <c r="I401" s="38" t="n"/>
      <c r="J401" s="38" t="n"/>
    </row>
    <row r="402" ht="15" customHeight="1" s="33">
      <c r="A402" s="57">
        <f>IF(B402="","",ROW()-4)</f>
        <v/>
      </c>
      <c r="B402" s="58" t="n"/>
      <c r="C402" s="38" t="n"/>
      <c r="D402" s="38" t="n"/>
      <c r="E402" s="41" t="n"/>
      <c r="F402" s="57">
        <f>IF(D402="","",IFERROR(INDEX(Referensi!$J$5:$J$30,MATCH(D402,Referensi!$I$5:$I$30,0)),"?"))</f>
        <v/>
      </c>
      <c r="G402" s="38" t="n"/>
      <c r="H402" s="38" t="n"/>
      <c r="I402" s="38" t="n"/>
      <c r="J402" s="38" t="n"/>
    </row>
    <row r="403" ht="15" customHeight="1" s="33">
      <c r="A403" s="57">
        <f>IF(B403="","",ROW()-4)</f>
        <v/>
      </c>
      <c r="B403" s="58" t="n"/>
      <c r="C403" s="38" t="n"/>
      <c r="D403" s="38" t="n"/>
      <c r="E403" s="41" t="n"/>
      <c r="F403" s="57">
        <f>IF(D403="","",IFERROR(INDEX(Referensi!$J$5:$J$30,MATCH(D403,Referensi!$I$5:$I$30,0)),"?"))</f>
        <v/>
      </c>
      <c r="G403" s="38" t="n"/>
      <c r="H403" s="38" t="n"/>
      <c r="I403" s="38" t="n"/>
      <c r="J403" s="38" t="n"/>
    </row>
    <row r="404" ht="15" customHeight="1" s="33">
      <c r="A404" s="57">
        <f>IF(B404="","",ROW()-4)</f>
        <v/>
      </c>
      <c r="B404" s="58" t="n"/>
      <c r="C404" s="38" t="n"/>
      <c r="D404" s="38" t="n"/>
      <c r="E404" s="41" t="n"/>
      <c r="F404" s="57">
        <f>IF(D404="","",IFERROR(INDEX(Referensi!$J$5:$J$30,MATCH(D404,Referensi!$I$5:$I$30,0)),"?"))</f>
        <v/>
      </c>
      <c r="G404" s="38" t="n"/>
      <c r="H404" s="38" t="n"/>
      <c r="I404" s="38" t="n"/>
      <c r="J404" s="38" t="n"/>
    </row>
    <row r="405" ht="15" customHeight="1" s="33">
      <c r="A405" s="57">
        <f>IF(B405="","",ROW()-4)</f>
        <v/>
      </c>
      <c r="B405" s="58" t="n"/>
      <c r="C405" s="38" t="n"/>
      <c r="D405" s="38" t="n"/>
      <c r="E405" s="41" t="n"/>
      <c r="F405" s="57">
        <f>IF(D405="","",IFERROR(INDEX(Referensi!$J$5:$J$30,MATCH(D405,Referensi!$I$5:$I$30,0)),"?"))</f>
        <v/>
      </c>
      <c r="G405" s="38" t="n"/>
      <c r="H405" s="38" t="n"/>
      <c r="I405" s="38" t="n"/>
      <c r="J405" s="38" t="n"/>
    </row>
    <row r="406" ht="15" customHeight="1" s="33">
      <c r="A406" s="57">
        <f>IF(B406="","",ROW()-4)</f>
        <v/>
      </c>
      <c r="B406" s="58" t="n"/>
      <c r="C406" s="38" t="n"/>
      <c r="D406" s="38" t="n"/>
      <c r="E406" s="41" t="n"/>
      <c r="F406" s="57">
        <f>IF(D406="","",IFERROR(INDEX(Referensi!$J$5:$J$30,MATCH(D406,Referensi!$I$5:$I$30,0)),"?"))</f>
        <v/>
      </c>
      <c r="G406" s="38" t="n"/>
      <c r="H406" s="38" t="n"/>
      <c r="I406" s="38" t="n"/>
      <c r="J406" s="38" t="n"/>
    </row>
    <row r="407" ht="15" customHeight="1" s="33">
      <c r="A407" s="57">
        <f>IF(B407="","",ROW()-4)</f>
        <v/>
      </c>
      <c r="B407" s="58" t="n"/>
      <c r="C407" s="38" t="n"/>
      <c r="D407" s="38" t="n"/>
      <c r="E407" s="41" t="n"/>
      <c r="F407" s="57">
        <f>IF(D407="","",IFERROR(INDEX(Referensi!$J$5:$J$30,MATCH(D407,Referensi!$I$5:$I$30,0)),"?"))</f>
        <v/>
      </c>
      <c r="G407" s="38" t="n"/>
      <c r="H407" s="38" t="n"/>
      <c r="I407" s="38" t="n"/>
      <c r="J407" s="38" t="n"/>
    </row>
    <row r="408" ht="15" customHeight="1" s="33">
      <c r="A408" s="57">
        <f>IF(B408="","",ROW()-4)</f>
        <v/>
      </c>
      <c r="B408" s="58" t="n"/>
      <c r="C408" s="38" t="n"/>
      <c r="D408" s="38" t="n"/>
      <c r="E408" s="41" t="n"/>
      <c r="F408" s="57">
        <f>IF(D408="","",IFERROR(INDEX(Referensi!$J$5:$J$30,MATCH(D408,Referensi!$I$5:$I$30,0)),"?"))</f>
        <v/>
      </c>
      <c r="G408" s="38" t="n"/>
      <c r="H408" s="38" t="n"/>
      <c r="I408" s="38" t="n"/>
      <c r="J408" s="38" t="n"/>
    </row>
    <row r="409" ht="15" customHeight="1" s="33">
      <c r="A409" s="57">
        <f>IF(B409="","",ROW()-4)</f>
        <v/>
      </c>
      <c r="B409" s="58" t="n"/>
      <c r="C409" s="38" t="n"/>
      <c r="D409" s="38" t="n"/>
      <c r="E409" s="41" t="n"/>
      <c r="F409" s="57">
        <f>IF(D409="","",IFERROR(INDEX(Referensi!$J$5:$J$30,MATCH(D409,Referensi!$I$5:$I$30,0)),"?"))</f>
        <v/>
      </c>
      <c r="G409" s="38" t="n"/>
      <c r="H409" s="38" t="n"/>
      <c r="I409" s="38" t="n"/>
      <c r="J409" s="38" t="n"/>
    </row>
    <row r="410" ht="15" customHeight="1" s="33">
      <c r="A410" s="57">
        <f>IF(B410="","",ROW()-4)</f>
        <v/>
      </c>
      <c r="B410" s="58" t="n"/>
      <c r="C410" s="38" t="n"/>
      <c r="D410" s="38" t="n"/>
      <c r="E410" s="41" t="n"/>
      <c r="F410" s="57">
        <f>IF(D410="","",IFERROR(INDEX(Referensi!$J$5:$J$30,MATCH(D410,Referensi!$I$5:$I$30,0)),"?"))</f>
        <v/>
      </c>
      <c r="G410" s="38" t="n"/>
      <c r="H410" s="38" t="n"/>
      <c r="I410" s="38" t="n"/>
      <c r="J410" s="38" t="n"/>
    </row>
    <row r="411" ht="15" customHeight="1" s="33">
      <c r="A411" s="57">
        <f>IF(B411="","",ROW()-4)</f>
        <v/>
      </c>
      <c r="B411" s="58" t="n"/>
      <c r="C411" s="38" t="n"/>
      <c r="D411" s="38" t="n"/>
      <c r="E411" s="41" t="n"/>
      <c r="F411" s="57">
        <f>IF(D411="","",IFERROR(INDEX(Referensi!$J$5:$J$30,MATCH(D411,Referensi!$I$5:$I$30,0)),"?"))</f>
        <v/>
      </c>
      <c r="G411" s="38" t="n"/>
      <c r="H411" s="38" t="n"/>
      <c r="I411" s="38" t="n"/>
      <c r="J411" s="38" t="n"/>
    </row>
    <row r="412" ht="15" customHeight="1" s="33">
      <c r="A412" s="57">
        <f>IF(B412="","",ROW()-4)</f>
        <v/>
      </c>
      <c r="B412" s="58" t="n"/>
      <c r="C412" s="38" t="n"/>
      <c r="D412" s="38" t="n"/>
      <c r="E412" s="41" t="n"/>
      <c r="F412" s="57">
        <f>IF(D412="","",IFERROR(INDEX(Referensi!$J$5:$J$30,MATCH(D412,Referensi!$I$5:$I$30,0)),"?"))</f>
        <v/>
      </c>
      <c r="G412" s="38" t="n"/>
      <c r="H412" s="38" t="n"/>
      <c r="I412" s="38" t="n"/>
      <c r="J412" s="38" t="n"/>
    </row>
    <row r="413" ht="15" customHeight="1" s="33">
      <c r="A413" s="57">
        <f>IF(B413="","",ROW()-4)</f>
        <v/>
      </c>
      <c r="B413" s="58" t="n"/>
      <c r="C413" s="38" t="n"/>
      <c r="D413" s="38" t="n"/>
      <c r="E413" s="41" t="n"/>
      <c r="F413" s="57">
        <f>IF(D413="","",IFERROR(INDEX(Referensi!$J$5:$J$30,MATCH(D413,Referensi!$I$5:$I$30,0)),"?"))</f>
        <v/>
      </c>
      <c r="G413" s="38" t="n"/>
      <c r="H413" s="38" t="n"/>
      <c r="I413" s="38" t="n"/>
      <c r="J413" s="38" t="n"/>
    </row>
    <row r="414" ht="15" customHeight="1" s="33">
      <c r="A414" s="57">
        <f>IF(B414="","",ROW()-4)</f>
        <v/>
      </c>
      <c r="B414" s="58" t="n"/>
      <c r="C414" s="38" t="n"/>
      <c r="D414" s="38" t="n"/>
      <c r="E414" s="41" t="n"/>
      <c r="F414" s="57">
        <f>IF(D414="","",IFERROR(INDEX(Referensi!$J$5:$J$30,MATCH(D414,Referensi!$I$5:$I$30,0)),"?"))</f>
        <v/>
      </c>
      <c r="G414" s="38" t="n"/>
      <c r="H414" s="38" t="n"/>
      <c r="I414" s="38" t="n"/>
      <c r="J414" s="38" t="n"/>
    </row>
    <row r="415" ht="15" customHeight="1" s="33">
      <c r="A415" s="57">
        <f>IF(B415="","",ROW()-4)</f>
        <v/>
      </c>
      <c r="B415" s="58" t="n"/>
      <c r="C415" s="38" t="n"/>
      <c r="D415" s="38" t="n"/>
      <c r="E415" s="41" t="n"/>
      <c r="F415" s="57">
        <f>IF(D415="","",IFERROR(INDEX(Referensi!$J$5:$J$30,MATCH(D415,Referensi!$I$5:$I$30,0)),"?"))</f>
        <v/>
      </c>
      <c r="G415" s="38" t="n"/>
      <c r="H415" s="38" t="n"/>
      <c r="I415" s="38" t="n"/>
      <c r="J415" s="38" t="n"/>
    </row>
    <row r="416" ht="15" customHeight="1" s="33">
      <c r="A416" s="57">
        <f>IF(B416="","",ROW()-4)</f>
        <v/>
      </c>
      <c r="B416" s="58" t="n"/>
      <c r="C416" s="38" t="n"/>
      <c r="D416" s="38" t="n"/>
      <c r="E416" s="41" t="n"/>
      <c r="F416" s="57">
        <f>IF(D416="","",IFERROR(INDEX(Referensi!$J$5:$J$30,MATCH(D416,Referensi!$I$5:$I$30,0)),"?"))</f>
        <v/>
      </c>
      <c r="G416" s="38" t="n"/>
      <c r="H416" s="38" t="n"/>
      <c r="I416" s="38" t="n"/>
      <c r="J416" s="38" t="n"/>
    </row>
    <row r="417" ht="15" customHeight="1" s="33">
      <c r="A417" s="57">
        <f>IF(B417="","",ROW()-4)</f>
        <v/>
      </c>
      <c r="B417" s="58" t="n"/>
      <c r="C417" s="38" t="n"/>
      <c r="D417" s="38" t="n"/>
      <c r="E417" s="41" t="n"/>
      <c r="F417" s="57">
        <f>IF(D417="","",IFERROR(INDEX(Referensi!$J$5:$J$30,MATCH(D417,Referensi!$I$5:$I$30,0)),"?"))</f>
        <v/>
      </c>
      <c r="G417" s="38" t="n"/>
      <c r="H417" s="38" t="n"/>
      <c r="I417" s="38" t="n"/>
      <c r="J417" s="38" t="n"/>
    </row>
    <row r="418" ht="15" customHeight="1" s="33">
      <c r="A418" s="57">
        <f>IF(B418="","",ROW()-4)</f>
        <v/>
      </c>
      <c r="B418" s="58" t="n"/>
      <c r="C418" s="38" t="n"/>
      <c r="D418" s="38" t="n"/>
      <c r="E418" s="41" t="n"/>
      <c r="F418" s="57">
        <f>IF(D418="","",IFERROR(INDEX(Referensi!$J$5:$J$30,MATCH(D418,Referensi!$I$5:$I$30,0)),"?"))</f>
        <v/>
      </c>
      <c r="G418" s="38" t="n"/>
      <c r="H418" s="38" t="n"/>
      <c r="I418" s="38" t="n"/>
      <c r="J418" s="38" t="n"/>
    </row>
    <row r="419" ht="15" customHeight="1" s="33">
      <c r="A419" s="57">
        <f>IF(B419="","",ROW()-4)</f>
        <v/>
      </c>
      <c r="B419" s="58" t="n"/>
      <c r="C419" s="38" t="n"/>
      <c r="D419" s="38" t="n"/>
      <c r="E419" s="41" t="n"/>
      <c r="F419" s="57">
        <f>IF(D419="","",IFERROR(INDEX(Referensi!$J$5:$J$30,MATCH(D419,Referensi!$I$5:$I$30,0)),"?"))</f>
        <v/>
      </c>
      <c r="G419" s="38" t="n"/>
      <c r="H419" s="38" t="n"/>
      <c r="I419" s="38" t="n"/>
      <c r="J419" s="38" t="n"/>
    </row>
    <row r="420" ht="15" customHeight="1" s="33">
      <c r="A420" s="57">
        <f>IF(B420="","",ROW()-4)</f>
        <v/>
      </c>
      <c r="B420" s="58" t="n"/>
      <c r="C420" s="38" t="n"/>
      <c r="D420" s="38" t="n"/>
      <c r="E420" s="41" t="n"/>
      <c r="F420" s="57">
        <f>IF(D420="","",IFERROR(INDEX(Referensi!$J$5:$J$30,MATCH(D420,Referensi!$I$5:$I$30,0)),"?"))</f>
        <v/>
      </c>
      <c r="G420" s="38" t="n"/>
      <c r="H420" s="38" t="n"/>
      <c r="I420" s="38" t="n"/>
      <c r="J420" s="38" t="n"/>
    </row>
    <row r="421" ht="15" customHeight="1" s="33">
      <c r="A421" s="57">
        <f>IF(B421="","",ROW()-4)</f>
        <v/>
      </c>
      <c r="B421" s="58" t="n"/>
      <c r="C421" s="38" t="n"/>
      <c r="D421" s="38" t="n"/>
      <c r="E421" s="41" t="n"/>
      <c r="F421" s="57">
        <f>IF(D421="","",IFERROR(INDEX(Referensi!$J$5:$J$30,MATCH(D421,Referensi!$I$5:$I$30,0)),"?"))</f>
        <v/>
      </c>
      <c r="G421" s="38" t="n"/>
      <c r="H421" s="38" t="n"/>
      <c r="I421" s="38" t="n"/>
      <c r="J421" s="38" t="n"/>
    </row>
    <row r="422" ht="15" customHeight="1" s="33">
      <c r="A422" s="57">
        <f>IF(B422="","",ROW()-4)</f>
        <v/>
      </c>
      <c r="B422" s="58" t="n"/>
      <c r="C422" s="38" t="n"/>
      <c r="D422" s="38" t="n"/>
      <c r="E422" s="41" t="n"/>
      <c r="F422" s="57">
        <f>IF(D422="","",IFERROR(INDEX(Referensi!$J$5:$J$30,MATCH(D422,Referensi!$I$5:$I$30,0)),"?"))</f>
        <v/>
      </c>
      <c r="G422" s="38" t="n"/>
      <c r="H422" s="38" t="n"/>
      <c r="I422" s="38" t="n"/>
      <c r="J422" s="38" t="n"/>
    </row>
    <row r="423" ht="15" customHeight="1" s="33">
      <c r="A423" s="57">
        <f>IF(B423="","",ROW()-4)</f>
        <v/>
      </c>
      <c r="B423" s="58" t="n"/>
      <c r="C423" s="38" t="n"/>
      <c r="D423" s="38" t="n"/>
      <c r="E423" s="41" t="n"/>
      <c r="F423" s="57">
        <f>IF(D423="","",IFERROR(INDEX(Referensi!$J$5:$J$30,MATCH(D423,Referensi!$I$5:$I$30,0)),"?"))</f>
        <v/>
      </c>
      <c r="G423" s="38" t="n"/>
      <c r="H423" s="38" t="n"/>
      <c r="I423" s="38" t="n"/>
      <c r="J423" s="38" t="n"/>
    </row>
    <row r="424" ht="15" customHeight="1" s="33">
      <c r="A424" s="57">
        <f>IF(B424="","",ROW()-4)</f>
        <v/>
      </c>
      <c r="B424" s="58" t="n"/>
      <c r="C424" s="38" t="n"/>
      <c r="D424" s="38" t="n"/>
      <c r="E424" s="41" t="n"/>
      <c r="F424" s="57">
        <f>IF(D424="","",IFERROR(INDEX(Referensi!$J$5:$J$30,MATCH(D424,Referensi!$I$5:$I$30,0)),"?"))</f>
        <v/>
      </c>
      <c r="G424" s="38" t="n"/>
      <c r="H424" s="38" t="n"/>
      <c r="I424" s="38" t="n"/>
      <c r="J424" s="38" t="n"/>
    </row>
    <row r="425" ht="15" customHeight="1" s="33">
      <c r="A425" s="57">
        <f>IF(B425="","",ROW()-4)</f>
        <v/>
      </c>
      <c r="B425" s="58" t="n"/>
      <c r="C425" s="38" t="n"/>
      <c r="D425" s="38" t="n"/>
      <c r="E425" s="41" t="n"/>
      <c r="F425" s="57">
        <f>IF(D425="","",IFERROR(INDEX(Referensi!$J$5:$J$30,MATCH(D425,Referensi!$I$5:$I$30,0)),"?"))</f>
        <v/>
      </c>
      <c r="G425" s="38" t="n"/>
      <c r="H425" s="38" t="n"/>
      <c r="I425" s="38" t="n"/>
      <c r="J425" s="38" t="n"/>
    </row>
    <row r="426" ht="15" customHeight="1" s="33">
      <c r="A426" s="57">
        <f>IF(B426="","",ROW()-4)</f>
        <v/>
      </c>
      <c r="B426" s="58" t="n"/>
      <c r="C426" s="38" t="n"/>
      <c r="D426" s="38" t="n"/>
      <c r="E426" s="41" t="n"/>
      <c r="F426" s="57">
        <f>IF(D426="","",IFERROR(INDEX(Referensi!$J$5:$J$30,MATCH(D426,Referensi!$I$5:$I$30,0)),"?"))</f>
        <v/>
      </c>
      <c r="G426" s="38" t="n"/>
      <c r="H426" s="38" t="n"/>
      <c r="I426" s="38" t="n"/>
      <c r="J426" s="38" t="n"/>
    </row>
    <row r="427" ht="15" customHeight="1" s="33">
      <c r="A427" s="57">
        <f>IF(B427="","",ROW()-4)</f>
        <v/>
      </c>
      <c r="B427" s="58" t="n"/>
      <c r="C427" s="38" t="n"/>
      <c r="D427" s="38" t="n"/>
      <c r="E427" s="41" t="n"/>
      <c r="F427" s="57">
        <f>IF(D427="","",IFERROR(INDEX(Referensi!$J$5:$J$30,MATCH(D427,Referensi!$I$5:$I$30,0)),"?"))</f>
        <v/>
      </c>
      <c r="G427" s="38" t="n"/>
      <c r="H427" s="38" t="n"/>
      <c r="I427" s="38" t="n"/>
      <c r="J427" s="38" t="n"/>
    </row>
    <row r="428" ht="15" customHeight="1" s="33">
      <c r="A428" s="57">
        <f>IF(B428="","",ROW()-4)</f>
        <v/>
      </c>
      <c r="B428" s="58" t="n"/>
      <c r="C428" s="38" t="n"/>
      <c r="D428" s="38" t="n"/>
      <c r="E428" s="41" t="n"/>
      <c r="F428" s="57">
        <f>IF(D428="","",IFERROR(INDEX(Referensi!$J$5:$J$30,MATCH(D428,Referensi!$I$5:$I$30,0)),"?"))</f>
        <v/>
      </c>
      <c r="G428" s="38" t="n"/>
      <c r="H428" s="38" t="n"/>
      <c r="I428" s="38" t="n"/>
      <c r="J428" s="38" t="n"/>
    </row>
    <row r="429" ht="15" customHeight="1" s="33">
      <c r="A429" s="57">
        <f>IF(B429="","",ROW()-4)</f>
        <v/>
      </c>
      <c r="B429" s="58" t="n"/>
      <c r="C429" s="38" t="n"/>
      <c r="D429" s="38" t="n"/>
      <c r="E429" s="41" t="n"/>
      <c r="F429" s="57">
        <f>IF(D429="","",IFERROR(INDEX(Referensi!$J$5:$J$30,MATCH(D429,Referensi!$I$5:$I$30,0)),"?"))</f>
        <v/>
      </c>
      <c r="G429" s="38" t="n"/>
      <c r="H429" s="38" t="n"/>
      <c r="I429" s="38" t="n"/>
      <c r="J429" s="38" t="n"/>
    </row>
    <row r="430" ht="15" customHeight="1" s="33">
      <c r="A430" s="57">
        <f>IF(B430="","",ROW()-4)</f>
        <v/>
      </c>
      <c r="B430" s="58" t="n"/>
      <c r="C430" s="38" t="n"/>
      <c r="D430" s="38" t="n"/>
      <c r="E430" s="41" t="n"/>
      <c r="F430" s="57">
        <f>IF(D430="","",IFERROR(INDEX(Referensi!$J$5:$J$30,MATCH(D430,Referensi!$I$5:$I$30,0)),"?"))</f>
        <v/>
      </c>
      <c r="G430" s="38" t="n"/>
      <c r="H430" s="38" t="n"/>
      <c r="I430" s="38" t="n"/>
      <c r="J430" s="38" t="n"/>
    </row>
    <row r="431" ht="15" customHeight="1" s="33">
      <c r="A431" s="57">
        <f>IF(B431="","",ROW()-4)</f>
        <v/>
      </c>
      <c r="B431" s="58" t="n"/>
      <c r="C431" s="38" t="n"/>
      <c r="D431" s="38" t="n"/>
      <c r="E431" s="41" t="n"/>
      <c r="F431" s="57">
        <f>IF(D431="","",IFERROR(INDEX(Referensi!$J$5:$J$30,MATCH(D431,Referensi!$I$5:$I$30,0)),"?"))</f>
        <v/>
      </c>
      <c r="G431" s="38" t="n"/>
      <c r="H431" s="38" t="n"/>
      <c r="I431" s="38" t="n"/>
      <c r="J431" s="38" t="n"/>
    </row>
    <row r="432" ht="15" customHeight="1" s="33">
      <c r="A432" s="57">
        <f>IF(B432="","",ROW()-4)</f>
        <v/>
      </c>
      <c r="B432" s="58" t="n"/>
      <c r="C432" s="38" t="n"/>
      <c r="D432" s="38" t="n"/>
      <c r="E432" s="41" t="n"/>
      <c r="F432" s="57">
        <f>IF(D432="","",IFERROR(INDEX(Referensi!$J$5:$J$30,MATCH(D432,Referensi!$I$5:$I$30,0)),"?"))</f>
        <v/>
      </c>
      <c r="G432" s="38" t="n"/>
      <c r="H432" s="38" t="n"/>
      <c r="I432" s="38" t="n"/>
      <c r="J432" s="38" t="n"/>
    </row>
    <row r="433" ht="15" customHeight="1" s="33">
      <c r="A433" s="57">
        <f>IF(B433="","",ROW()-4)</f>
        <v/>
      </c>
      <c r="B433" s="58" t="n"/>
      <c r="C433" s="38" t="n"/>
      <c r="D433" s="38" t="n"/>
      <c r="E433" s="41" t="n"/>
      <c r="F433" s="57">
        <f>IF(D433="","",IFERROR(INDEX(Referensi!$J$5:$J$30,MATCH(D433,Referensi!$I$5:$I$30,0)),"?"))</f>
        <v/>
      </c>
      <c r="G433" s="38" t="n"/>
      <c r="H433" s="38" t="n"/>
      <c r="I433" s="38" t="n"/>
      <c r="J433" s="38" t="n"/>
    </row>
    <row r="434" ht="15" customHeight="1" s="33">
      <c r="A434" s="57">
        <f>IF(B434="","",ROW()-4)</f>
        <v/>
      </c>
      <c r="B434" s="58" t="n"/>
      <c r="C434" s="38" t="n"/>
      <c r="D434" s="38" t="n"/>
      <c r="E434" s="41" t="n"/>
      <c r="F434" s="57">
        <f>IF(D434="","",IFERROR(INDEX(Referensi!$J$5:$J$30,MATCH(D434,Referensi!$I$5:$I$30,0)),"?"))</f>
        <v/>
      </c>
      <c r="G434" s="38" t="n"/>
      <c r="H434" s="38" t="n"/>
      <c r="I434" s="38" t="n"/>
      <c r="J434" s="38" t="n"/>
    </row>
    <row r="435" ht="15" customHeight="1" s="33">
      <c r="A435" s="57">
        <f>IF(B435="","",ROW()-4)</f>
        <v/>
      </c>
      <c r="B435" s="58" t="n"/>
      <c r="C435" s="38" t="n"/>
      <c r="D435" s="38" t="n"/>
      <c r="E435" s="41" t="n"/>
      <c r="F435" s="57">
        <f>IF(D435="","",IFERROR(INDEX(Referensi!$J$5:$J$30,MATCH(D435,Referensi!$I$5:$I$30,0)),"?"))</f>
        <v/>
      </c>
      <c r="G435" s="38" t="n"/>
      <c r="H435" s="38" t="n"/>
      <c r="I435" s="38" t="n"/>
      <c r="J435" s="38" t="n"/>
    </row>
    <row r="436" ht="15" customHeight="1" s="33">
      <c r="A436" s="57">
        <f>IF(B436="","",ROW()-4)</f>
        <v/>
      </c>
      <c r="B436" s="58" t="n"/>
      <c r="C436" s="38" t="n"/>
      <c r="D436" s="38" t="n"/>
      <c r="E436" s="41" t="n"/>
      <c r="F436" s="57">
        <f>IF(D436="","",IFERROR(INDEX(Referensi!$J$5:$J$30,MATCH(D436,Referensi!$I$5:$I$30,0)),"?"))</f>
        <v/>
      </c>
      <c r="G436" s="38" t="n"/>
      <c r="H436" s="38" t="n"/>
      <c r="I436" s="38" t="n"/>
      <c r="J436" s="38" t="n"/>
    </row>
    <row r="437" ht="15" customHeight="1" s="33">
      <c r="A437" s="57">
        <f>IF(B437="","",ROW()-4)</f>
        <v/>
      </c>
      <c r="B437" s="58" t="n"/>
      <c r="C437" s="38" t="n"/>
      <c r="D437" s="38" t="n"/>
      <c r="E437" s="41" t="n"/>
      <c r="F437" s="57">
        <f>IF(D437="","",IFERROR(INDEX(Referensi!$J$5:$J$30,MATCH(D437,Referensi!$I$5:$I$30,0)),"?"))</f>
        <v/>
      </c>
      <c r="G437" s="38" t="n"/>
      <c r="H437" s="38" t="n"/>
      <c r="I437" s="38" t="n"/>
      <c r="J437" s="38" t="n"/>
    </row>
    <row r="438" ht="15" customHeight="1" s="33">
      <c r="A438" s="57">
        <f>IF(B438="","",ROW()-4)</f>
        <v/>
      </c>
      <c r="B438" s="58" t="n"/>
      <c r="C438" s="38" t="n"/>
      <c r="D438" s="38" t="n"/>
      <c r="E438" s="41" t="n"/>
      <c r="F438" s="57">
        <f>IF(D438="","",IFERROR(INDEX(Referensi!$J$5:$J$30,MATCH(D438,Referensi!$I$5:$I$30,0)),"?"))</f>
        <v/>
      </c>
      <c r="G438" s="38" t="n"/>
      <c r="H438" s="38" t="n"/>
      <c r="I438" s="38" t="n"/>
      <c r="J438" s="38" t="n"/>
    </row>
    <row r="439" ht="15" customHeight="1" s="33">
      <c r="A439" s="57">
        <f>IF(B439="","",ROW()-4)</f>
        <v/>
      </c>
      <c r="B439" s="58" t="n"/>
      <c r="C439" s="38" t="n"/>
      <c r="D439" s="38" t="n"/>
      <c r="E439" s="41" t="n"/>
      <c r="F439" s="57">
        <f>IF(D439="","",IFERROR(INDEX(Referensi!$J$5:$J$30,MATCH(D439,Referensi!$I$5:$I$30,0)),"?"))</f>
        <v/>
      </c>
      <c r="G439" s="38" t="n"/>
      <c r="H439" s="38" t="n"/>
      <c r="I439" s="38" t="n"/>
      <c r="J439" s="38" t="n"/>
    </row>
    <row r="440" ht="15" customHeight="1" s="33">
      <c r="A440" s="57">
        <f>IF(B440="","",ROW()-4)</f>
        <v/>
      </c>
      <c r="B440" s="58" t="n"/>
      <c r="C440" s="38" t="n"/>
      <c r="D440" s="38" t="n"/>
      <c r="E440" s="41" t="n"/>
      <c r="F440" s="57">
        <f>IF(D440="","",IFERROR(INDEX(Referensi!$J$5:$J$30,MATCH(D440,Referensi!$I$5:$I$30,0)),"?"))</f>
        <v/>
      </c>
      <c r="G440" s="38" t="n"/>
      <c r="H440" s="38" t="n"/>
      <c r="I440" s="38" t="n"/>
      <c r="J440" s="38" t="n"/>
    </row>
    <row r="441" ht="15" customHeight="1" s="33">
      <c r="A441" s="57">
        <f>IF(B441="","",ROW()-4)</f>
        <v/>
      </c>
      <c r="B441" s="58" t="n"/>
      <c r="C441" s="38" t="n"/>
      <c r="D441" s="38" t="n"/>
      <c r="E441" s="41" t="n"/>
      <c r="F441" s="57">
        <f>IF(D441="","",IFERROR(INDEX(Referensi!$J$5:$J$30,MATCH(D441,Referensi!$I$5:$I$30,0)),"?"))</f>
        <v/>
      </c>
      <c r="G441" s="38" t="n"/>
      <c r="H441" s="38" t="n"/>
      <c r="I441" s="38" t="n"/>
      <c r="J441" s="38" t="n"/>
    </row>
    <row r="442" ht="15" customHeight="1" s="33">
      <c r="A442" s="57">
        <f>IF(B442="","",ROW()-4)</f>
        <v/>
      </c>
      <c r="B442" s="58" t="n"/>
      <c r="C442" s="38" t="n"/>
      <c r="D442" s="38" t="n"/>
      <c r="E442" s="41" t="n"/>
      <c r="F442" s="57">
        <f>IF(D442="","",IFERROR(INDEX(Referensi!$J$5:$J$30,MATCH(D442,Referensi!$I$5:$I$30,0)),"?"))</f>
        <v/>
      </c>
      <c r="G442" s="38" t="n"/>
      <c r="H442" s="38" t="n"/>
      <c r="I442" s="38" t="n"/>
      <c r="J442" s="38" t="n"/>
    </row>
    <row r="443" ht="15" customHeight="1" s="33">
      <c r="A443" s="57">
        <f>IF(B443="","",ROW()-4)</f>
        <v/>
      </c>
      <c r="B443" s="58" t="n"/>
      <c r="C443" s="38" t="n"/>
      <c r="D443" s="38" t="n"/>
      <c r="E443" s="41" t="n"/>
      <c r="F443" s="57">
        <f>IF(D443="","",IFERROR(INDEX(Referensi!$J$5:$J$30,MATCH(D443,Referensi!$I$5:$I$30,0)),"?"))</f>
        <v/>
      </c>
      <c r="G443" s="38" t="n"/>
      <c r="H443" s="38" t="n"/>
      <c r="I443" s="38" t="n"/>
      <c r="J443" s="38" t="n"/>
    </row>
    <row r="444" ht="15" customHeight="1" s="33">
      <c r="A444" s="57">
        <f>IF(B444="","",ROW()-4)</f>
        <v/>
      </c>
      <c r="B444" s="58" t="n"/>
      <c r="C444" s="38" t="n"/>
      <c r="D444" s="38" t="n"/>
      <c r="E444" s="41" t="n"/>
      <c r="F444" s="57">
        <f>IF(D444="","",IFERROR(INDEX(Referensi!$J$5:$J$30,MATCH(D444,Referensi!$I$5:$I$30,0)),"?"))</f>
        <v/>
      </c>
      <c r="G444" s="38" t="n"/>
      <c r="H444" s="38" t="n"/>
      <c r="I444" s="38" t="n"/>
      <c r="J444" s="38" t="n"/>
    </row>
    <row r="445" ht="15" customHeight="1" s="33">
      <c r="A445" s="57">
        <f>IF(B445="","",ROW()-4)</f>
        <v/>
      </c>
      <c r="B445" s="58" t="n"/>
      <c r="C445" s="38" t="n"/>
      <c r="D445" s="38" t="n"/>
      <c r="E445" s="41" t="n"/>
      <c r="F445" s="57">
        <f>IF(D445="","",IFERROR(INDEX(Referensi!$J$5:$J$30,MATCH(D445,Referensi!$I$5:$I$30,0)),"?"))</f>
        <v/>
      </c>
      <c r="G445" s="38" t="n"/>
      <c r="H445" s="38" t="n"/>
      <c r="I445" s="38" t="n"/>
      <c r="J445" s="38" t="n"/>
    </row>
    <row r="446" ht="15" customHeight="1" s="33">
      <c r="A446" s="57">
        <f>IF(B446="","",ROW()-4)</f>
        <v/>
      </c>
      <c r="B446" s="58" t="n"/>
      <c r="C446" s="38" t="n"/>
      <c r="D446" s="38" t="n"/>
      <c r="E446" s="41" t="n"/>
      <c r="F446" s="57">
        <f>IF(D446="","",IFERROR(INDEX(Referensi!$J$5:$J$30,MATCH(D446,Referensi!$I$5:$I$30,0)),"?"))</f>
        <v/>
      </c>
      <c r="G446" s="38" t="n"/>
      <c r="H446" s="38" t="n"/>
      <c r="I446" s="38" t="n"/>
      <c r="J446" s="38" t="n"/>
    </row>
    <row r="447" ht="15" customHeight="1" s="33">
      <c r="A447" s="57">
        <f>IF(B447="","",ROW()-4)</f>
        <v/>
      </c>
      <c r="B447" s="58" t="n"/>
      <c r="C447" s="38" t="n"/>
      <c r="D447" s="38" t="n"/>
      <c r="E447" s="41" t="n"/>
      <c r="F447" s="57">
        <f>IF(D447="","",IFERROR(INDEX(Referensi!$J$5:$J$30,MATCH(D447,Referensi!$I$5:$I$30,0)),"?"))</f>
        <v/>
      </c>
      <c r="G447" s="38" t="n"/>
      <c r="H447" s="38" t="n"/>
      <c r="I447" s="38" t="n"/>
      <c r="J447" s="38" t="n"/>
    </row>
    <row r="448" ht="15" customHeight="1" s="33">
      <c r="A448" s="57">
        <f>IF(B448="","",ROW()-4)</f>
        <v/>
      </c>
      <c r="B448" s="58" t="n"/>
      <c r="C448" s="38" t="n"/>
      <c r="D448" s="38" t="n"/>
      <c r="E448" s="41" t="n"/>
      <c r="F448" s="57">
        <f>IF(D448="","",IFERROR(INDEX(Referensi!$J$5:$J$30,MATCH(D448,Referensi!$I$5:$I$30,0)),"?"))</f>
        <v/>
      </c>
      <c r="G448" s="38" t="n"/>
      <c r="H448" s="38" t="n"/>
      <c r="I448" s="38" t="n"/>
      <c r="J448" s="38" t="n"/>
    </row>
    <row r="449" ht="15" customHeight="1" s="33">
      <c r="A449" s="57">
        <f>IF(B449="","",ROW()-4)</f>
        <v/>
      </c>
      <c r="B449" s="58" t="n"/>
      <c r="C449" s="38" t="n"/>
      <c r="D449" s="38" t="n"/>
      <c r="E449" s="41" t="n"/>
      <c r="F449" s="57">
        <f>IF(D449="","",IFERROR(INDEX(Referensi!$J$5:$J$30,MATCH(D449,Referensi!$I$5:$I$30,0)),"?"))</f>
        <v/>
      </c>
      <c r="G449" s="38" t="n"/>
      <c r="H449" s="38" t="n"/>
      <c r="I449" s="38" t="n"/>
      <c r="J449" s="38" t="n"/>
    </row>
    <row r="450" ht="15" customHeight="1" s="33">
      <c r="A450" s="57">
        <f>IF(B450="","",ROW()-4)</f>
        <v/>
      </c>
      <c r="B450" s="58" t="n"/>
      <c r="C450" s="38" t="n"/>
      <c r="D450" s="38" t="n"/>
      <c r="E450" s="41" t="n"/>
      <c r="F450" s="57">
        <f>IF(D450="","",IFERROR(INDEX(Referensi!$J$5:$J$30,MATCH(D450,Referensi!$I$5:$I$30,0)),"?"))</f>
        <v/>
      </c>
      <c r="G450" s="38" t="n"/>
      <c r="H450" s="38" t="n"/>
      <c r="I450" s="38" t="n"/>
      <c r="J450" s="38" t="n"/>
    </row>
    <row r="451" ht="15" customHeight="1" s="33">
      <c r="A451" s="57">
        <f>IF(B451="","",ROW()-4)</f>
        <v/>
      </c>
      <c r="B451" s="58" t="n"/>
      <c r="C451" s="38" t="n"/>
      <c r="D451" s="38" t="n"/>
      <c r="E451" s="41" t="n"/>
      <c r="F451" s="57">
        <f>IF(D451="","",IFERROR(INDEX(Referensi!$J$5:$J$30,MATCH(D451,Referensi!$I$5:$I$30,0)),"?"))</f>
        <v/>
      </c>
      <c r="G451" s="38" t="n"/>
      <c r="H451" s="38" t="n"/>
      <c r="I451" s="38" t="n"/>
      <c r="J451" s="38" t="n"/>
    </row>
    <row r="452" ht="15" customHeight="1" s="33">
      <c r="A452" s="57">
        <f>IF(B452="","",ROW()-4)</f>
        <v/>
      </c>
      <c r="B452" s="58" t="n"/>
      <c r="C452" s="38" t="n"/>
      <c r="D452" s="38" t="n"/>
      <c r="E452" s="41" t="n"/>
      <c r="F452" s="57">
        <f>IF(D452="","",IFERROR(INDEX(Referensi!$J$5:$J$30,MATCH(D452,Referensi!$I$5:$I$30,0)),"?"))</f>
        <v/>
      </c>
      <c r="G452" s="38" t="n"/>
      <c r="H452" s="38" t="n"/>
      <c r="I452" s="38" t="n"/>
      <c r="J452" s="38" t="n"/>
    </row>
    <row r="453" ht="15" customHeight="1" s="33">
      <c r="A453" s="57">
        <f>IF(B453="","",ROW()-4)</f>
        <v/>
      </c>
      <c r="B453" s="58" t="n"/>
      <c r="C453" s="38" t="n"/>
      <c r="D453" s="38" t="n"/>
      <c r="E453" s="41" t="n"/>
      <c r="F453" s="57">
        <f>IF(D453="","",IFERROR(INDEX(Referensi!$J$5:$J$30,MATCH(D453,Referensi!$I$5:$I$30,0)),"?"))</f>
        <v/>
      </c>
      <c r="G453" s="38" t="n"/>
      <c r="H453" s="38" t="n"/>
      <c r="I453" s="38" t="n"/>
      <c r="J453" s="38" t="n"/>
    </row>
    <row r="454" ht="15" customHeight="1" s="33">
      <c r="A454" s="57">
        <f>IF(B454="","",ROW()-4)</f>
        <v/>
      </c>
      <c r="B454" s="58" t="n"/>
      <c r="C454" s="38" t="n"/>
      <c r="D454" s="38" t="n"/>
      <c r="E454" s="41" t="n"/>
      <c r="F454" s="57">
        <f>IF(D454="","",IFERROR(INDEX(Referensi!$J$5:$J$30,MATCH(D454,Referensi!$I$5:$I$30,0)),"?"))</f>
        <v/>
      </c>
      <c r="G454" s="38" t="n"/>
      <c r="H454" s="38" t="n"/>
      <c r="I454" s="38" t="n"/>
      <c r="J454" s="38" t="n"/>
    </row>
    <row r="455" ht="15" customHeight="1" s="33">
      <c r="A455" s="57">
        <f>IF(B455="","",ROW()-4)</f>
        <v/>
      </c>
      <c r="B455" s="58" t="n"/>
      <c r="C455" s="38" t="n"/>
      <c r="D455" s="38" t="n"/>
      <c r="E455" s="41" t="n"/>
      <c r="F455" s="57">
        <f>IF(D455="","",IFERROR(INDEX(Referensi!$J$5:$J$30,MATCH(D455,Referensi!$I$5:$I$30,0)),"?"))</f>
        <v/>
      </c>
      <c r="G455" s="38" t="n"/>
      <c r="H455" s="38" t="n"/>
      <c r="I455" s="38" t="n"/>
      <c r="J455" s="38" t="n"/>
    </row>
    <row r="456" ht="15" customHeight="1" s="33">
      <c r="A456" s="57">
        <f>IF(B456="","",ROW()-4)</f>
        <v/>
      </c>
      <c r="B456" s="58" t="n"/>
      <c r="C456" s="38" t="n"/>
      <c r="D456" s="38" t="n"/>
      <c r="E456" s="41" t="n"/>
      <c r="F456" s="57">
        <f>IF(D456="","",IFERROR(INDEX(Referensi!$J$5:$J$30,MATCH(D456,Referensi!$I$5:$I$30,0)),"?"))</f>
        <v/>
      </c>
      <c r="G456" s="38" t="n"/>
      <c r="H456" s="38" t="n"/>
      <c r="I456" s="38" t="n"/>
      <c r="J456" s="38" t="n"/>
    </row>
    <row r="457" ht="15" customHeight="1" s="33">
      <c r="A457" s="57">
        <f>IF(B457="","",ROW()-4)</f>
        <v/>
      </c>
      <c r="B457" s="58" t="n"/>
      <c r="C457" s="38" t="n"/>
      <c r="D457" s="38" t="n"/>
      <c r="E457" s="41" t="n"/>
      <c r="F457" s="57">
        <f>IF(D457="","",IFERROR(INDEX(Referensi!$J$5:$J$30,MATCH(D457,Referensi!$I$5:$I$30,0)),"?"))</f>
        <v/>
      </c>
      <c r="G457" s="38" t="n"/>
      <c r="H457" s="38" t="n"/>
      <c r="I457" s="38" t="n"/>
      <c r="J457" s="38" t="n"/>
    </row>
    <row r="458" ht="15" customHeight="1" s="33">
      <c r="A458" s="57">
        <f>IF(B458="","",ROW()-4)</f>
        <v/>
      </c>
      <c r="B458" s="58" t="n"/>
      <c r="C458" s="38" t="n"/>
      <c r="D458" s="38" t="n"/>
      <c r="E458" s="41" t="n"/>
      <c r="F458" s="57">
        <f>IF(D458="","",IFERROR(INDEX(Referensi!$J$5:$J$30,MATCH(D458,Referensi!$I$5:$I$30,0)),"?"))</f>
        <v/>
      </c>
      <c r="G458" s="38" t="n"/>
      <c r="H458" s="38" t="n"/>
      <c r="I458" s="38" t="n"/>
      <c r="J458" s="38" t="n"/>
    </row>
    <row r="459" ht="15" customHeight="1" s="33">
      <c r="A459" s="57">
        <f>IF(B459="","",ROW()-4)</f>
        <v/>
      </c>
      <c r="B459" s="58" t="n"/>
      <c r="C459" s="38" t="n"/>
      <c r="D459" s="38" t="n"/>
      <c r="E459" s="41" t="n"/>
      <c r="F459" s="57">
        <f>IF(D459="","",IFERROR(INDEX(Referensi!$J$5:$J$30,MATCH(D459,Referensi!$I$5:$I$30,0)),"?"))</f>
        <v/>
      </c>
      <c r="G459" s="38" t="n"/>
      <c r="H459" s="38" t="n"/>
      <c r="I459" s="38" t="n"/>
      <c r="J459" s="38" t="n"/>
    </row>
    <row r="460" ht="15" customHeight="1" s="33">
      <c r="A460" s="57">
        <f>IF(B460="","",ROW()-4)</f>
        <v/>
      </c>
      <c r="B460" s="58" t="n"/>
      <c r="C460" s="38" t="n"/>
      <c r="D460" s="38" t="n"/>
      <c r="E460" s="41" t="n"/>
      <c r="F460" s="57">
        <f>IF(D460="","",IFERROR(INDEX(Referensi!$J$5:$J$30,MATCH(D460,Referensi!$I$5:$I$30,0)),"?"))</f>
        <v/>
      </c>
      <c r="G460" s="38" t="n"/>
      <c r="H460" s="38" t="n"/>
      <c r="I460" s="38" t="n"/>
      <c r="J460" s="38" t="n"/>
    </row>
    <row r="461" ht="15" customHeight="1" s="33">
      <c r="A461" s="57">
        <f>IF(B461="","",ROW()-4)</f>
        <v/>
      </c>
      <c r="B461" s="58" t="n"/>
      <c r="C461" s="38" t="n"/>
      <c r="D461" s="38" t="n"/>
      <c r="E461" s="41" t="n"/>
      <c r="F461" s="57">
        <f>IF(D461="","",IFERROR(INDEX(Referensi!$J$5:$J$30,MATCH(D461,Referensi!$I$5:$I$30,0)),"?"))</f>
        <v/>
      </c>
      <c r="G461" s="38" t="n"/>
      <c r="H461" s="38" t="n"/>
      <c r="I461" s="38" t="n"/>
      <c r="J461" s="38" t="n"/>
    </row>
    <row r="462" ht="15" customHeight="1" s="33">
      <c r="A462" s="57">
        <f>IF(B462="","",ROW()-4)</f>
        <v/>
      </c>
      <c r="B462" s="58" t="n"/>
      <c r="C462" s="38" t="n"/>
      <c r="D462" s="38" t="n"/>
      <c r="E462" s="41" t="n"/>
      <c r="F462" s="57">
        <f>IF(D462="","",IFERROR(INDEX(Referensi!$J$5:$J$30,MATCH(D462,Referensi!$I$5:$I$30,0)),"?"))</f>
        <v/>
      </c>
      <c r="G462" s="38" t="n"/>
      <c r="H462" s="38" t="n"/>
      <c r="I462" s="38" t="n"/>
      <c r="J462" s="38" t="n"/>
    </row>
    <row r="463" ht="15" customHeight="1" s="33">
      <c r="A463" s="57">
        <f>IF(B463="","",ROW()-4)</f>
        <v/>
      </c>
      <c r="B463" s="58" t="n"/>
      <c r="C463" s="38" t="n"/>
      <c r="D463" s="38" t="n"/>
      <c r="E463" s="41" t="n"/>
      <c r="F463" s="57">
        <f>IF(D463="","",IFERROR(INDEX(Referensi!$J$5:$J$30,MATCH(D463,Referensi!$I$5:$I$30,0)),"?"))</f>
        <v/>
      </c>
      <c r="G463" s="38" t="n"/>
      <c r="H463" s="38" t="n"/>
      <c r="I463" s="38" t="n"/>
      <c r="J463" s="38" t="n"/>
    </row>
    <row r="464" ht="15" customHeight="1" s="33">
      <c r="A464" s="57">
        <f>IF(B464="","",ROW()-4)</f>
        <v/>
      </c>
      <c r="B464" s="58" t="n"/>
      <c r="C464" s="38" t="n"/>
      <c r="D464" s="38" t="n"/>
      <c r="E464" s="41" t="n"/>
      <c r="F464" s="57">
        <f>IF(D464="","",IFERROR(INDEX(Referensi!$J$5:$J$30,MATCH(D464,Referensi!$I$5:$I$30,0)),"?"))</f>
        <v/>
      </c>
      <c r="G464" s="38" t="n"/>
      <c r="H464" s="38" t="n"/>
      <c r="I464" s="38" t="n"/>
      <c r="J464" s="38" t="n"/>
    </row>
    <row r="465" ht="15" customHeight="1" s="33">
      <c r="A465" s="57">
        <f>IF(B465="","",ROW()-4)</f>
        <v/>
      </c>
      <c r="B465" s="58" t="n"/>
      <c r="C465" s="38" t="n"/>
      <c r="D465" s="38" t="n"/>
      <c r="E465" s="41" t="n"/>
      <c r="F465" s="57">
        <f>IF(D465="","",IFERROR(INDEX(Referensi!$J$5:$J$30,MATCH(D465,Referensi!$I$5:$I$30,0)),"?"))</f>
        <v/>
      </c>
      <c r="G465" s="38" t="n"/>
      <c r="H465" s="38" t="n"/>
      <c r="I465" s="38" t="n"/>
      <c r="J465" s="38" t="n"/>
    </row>
    <row r="466" ht="15" customHeight="1" s="33">
      <c r="A466" s="57">
        <f>IF(B466="","",ROW()-4)</f>
        <v/>
      </c>
      <c r="B466" s="58" t="n"/>
      <c r="C466" s="38" t="n"/>
      <c r="D466" s="38" t="n"/>
      <c r="E466" s="41" t="n"/>
      <c r="F466" s="57">
        <f>IF(D466="","",IFERROR(INDEX(Referensi!$J$5:$J$30,MATCH(D466,Referensi!$I$5:$I$30,0)),"?"))</f>
        <v/>
      </c>
      <c r="G466" s="38" t="n"/>
      <c r="H466" s="38" t="n"/>
      <c r="I466" s="38" t="n"/>
      <c r="J466" s="38" t="n"/>
    </row>
    <row r="467" ht="15" customHeight="1" s="33">
      <c r="A467" s="57">
        <f>IF(B467="","",ROW()-4)</f>
        <v/>
      </c>
      <c r="B467" s="58" t="n"/>
      <c r="C467" s="38" t="n"/>
      <c r="D467" s="38" t="n"/>
      <c r="E467" s="41" t="n"/>
      <c r="F467" s="57">
        <f>IF(D467="","",IFERROR(INDEX(Referensi!$J$5:$J$30,MATCH(D467,Referensi!$I$5:$I$30,0)),"?"))</f>
        <v/>
      </c>
      <c r="G467" s="38" t="n"/>
      <c r="H467" s="38" t="n"/>
      <c r="I467" s="38" t="n"/>
      <c r="J467" s="38" t="n"/>
    </row>
    <row r="468" ht="15" customHeight="1" s="33">
      <c r="A468" s="57">
        <f>IF(B468="","",ROW()-4)</f>
        <v/>
      </c>
      <c r="B468" s="58" t="n"/>
      <c r="C468" s="38" t="n"/>
      <c r="D468" s="38" t="n"/>
      <c r="E468" s="41" t="n"/>
      <c r="F468" s="57">
        <f>IF(D468="","",IFERROR(INDEX(Referensi!$J$5:$J$30,MATCH(D468,Referensi!$I$5:$I$30,0)),"?"))</f>
        <v/>
      </c>
      <c r="G468" s="38" t="n"/>
      <c r="H468" s="38" t="n"/>
      <c r="I468" s="38" t="n"/>
      <c r="J468" s="38" t="n"/>
    </row>
    <row r="469" ht="15" customHeight="1" s="33">
      <c r="A469" s="57">
        <f>IF(B469="","",ROW()-4)</f>
        <v/>
      </c>
      <c r="B469" s="58" t="n"/>
      <c r="C469" s="38" t="n"/>
      <c r="D469" s="38" t="n"/>
      <c r="E469" s="41" t="n"/>
      <c r="F469" s="57">
        <f>IF(D469="","",IFERROR(INDEX(Referensi!$J$5:$J$30,MATCH(D469,Referensi!$I$5:$I$30,0)),"?"))</f>
        <v/>
      </c>
      <c r="G469" s="38" t="n"/>
      <c r="H469" s="38" t="n"/>
      <c r="I469" s="38" t="n"/>
      <c r="J469" s="38" t="n"/>
    </row>
    <row r="470" ht="15" customHeight="1" s="33">
      <c r="A470" s="57">
        <f>IF(B470="","",ROW()-4)</f>
        <v/>
      </c>
      <c r="B470" s="58" t="n"/>
      <c r="C470" s="38" t="n"/>
      <c r="D470" s="38" t="n"/>
      <c r="E470" s="41" t="n"/>
      <c r="F470" s="57">
        <f>IF(D470="","",IFERROR(INDEX(Referensi!$J$5:$J$30,MATCH(D470,Referensi!$I$5:$I$30,0)),"?"))</f>
        <v/>
      </c>
      <c r="G470" s="38" t="n"/>
      <c r="H470" s="38" t="n"/>
      <c r="I470" s="38" t="n"/>
      <c r="J470" s="38" t="n"/>
    </row>
    <row r="471" ht="15" customHeight="1" s="33">
      <c r="A471" s="57">
        <f>IF(B471="","",ROW()-4)</f>
        <v/>
      </c>
      <c r="B471" s="58" t="n"/>
      <c r="C471" s="38" t="n"/>
      <c r="D471" s="38" t="n"/>
      <c r="E471" s="41" t="n"/>
      <c r="F471" s="57">
        <f>IF(D471="","",IFERROR(INDEX(Referensi!$J$5:$J$30,MATCH(D471,Referensi!$I$5:$I$30,0)),"?"))</f>
        <v/>
      </c>
      <c r="G471" s="38" t="n"/>
      <c r="H471" s="38" t="n"/>
      <c r="I471" s="38" t="n"/>
      <c r="J471" s="38" t="n"/>
    </row>
    <row r="472" ht="15" customHeight="1" s="33">
      <c r="A472" s="57">
        <f>IF(B472="","",ROW()-4)</f>
        <v/>
      </c>
      <c r="B472" s="58" t="n"/>
      <c r="C472" s="38" t="n"/>
      <c r="D472" s="38" t="n"/>
      <c r="E472" s="41" t="n"/>
      <c r="F472" s="57">
        <f>IF(D472="","",IFERROR(INDEX(Referensi!$J$5:$J$30,MATCH(D472,Referensi!$I$5:$I$30,0)),"?"))</f>
        <v/>
      </c>
      <c r="G472" s="38" t="n"/>
      <c r="H472" s="38" t="n"/>
      <c r="I472" s="38" t="n"/>
      <c r="J472" s="38" t="n"/>
    </row>
    <row r="473" ht="15" customHeight="1" s="33">
      <c r="A473" s="57">
        <f>IF(B473="","",ROW()-4)</f>
        <v/>
      </c>
      <c r="B473" s="58" t="n"/>
      <c r="C473" s="38" t="n"/>
      <c r="D473" s="38" t="n"/>
      <c r="E473" s="41" t="n"/>
      <c r="F473" s="57">
        <f>IF(D473="","",IFERROR(INDEX(Referensi!$J$5:$J$30,MATCH(D473,Referensi!$I$5:$I$30,0)),"?"))</f>
        <v/>
      </c>
      <c r="G473" s="38" t="n"/>
      <c r="H473" s="38" t="n"/>
      <c r="I473" s="38" t="n"/>
      <c r="J473" s="38" t="n"/>
    </row>
    <row r="474" ht="15" customHeight="1" s="33">
      <c r="A474" s="57">
        <f>IF(B474="","",ROW()-4)</f>
        <v/>
      </c>
      <c r="B474" s="58" t="n"/>
      <c r="C474" s="38" t="n"/>
      <c r="D474" s="38" t="n"/>
      <c r="E474" s="41" t="n"/>
      <c r="F474" s="57">
        <f>IF(D474="","",IFERROR(INDEX(Referensi!$J$5:$J$30,MATCH(D474,Referensi!$I$5:$I$30,0)),"?"))</f>
        <v/>
      </c>
      <c r="G474" s="38" t="n"/>
      <c r="H474" s="38" t="n"/>
      <c r="I474" s="38" t="n"/>
      <c r="J474" s="38" t="n"/>
    </row>
    <row r="475" ht="15" customHeight="1" s="33">
      <c r="A475" s="57">
        <f>IF(B475="","",ROW()-4)</f>
        <v/>
      </c>
      <c r="B475" s="58" t="n"/>
      <c r="C475" s="38" t="n"/>
      <c r="D475" s="38" t="n"/>
      <c r="E475" s="41" t="n"/>
      <c r="F475" s="57">
        <f>IF(D475="","",IFERROR(INDEX(Referensi!$J$5:$J$30,MATCH(D475,Referensi!$I$5:$I$30,0)),"?"))</f>
        <v/>
      </c>
      <c r="G475" s="38" t="n"/>
      <c r="H475" s="38" t="n"/>
      <c r="I475" s="38" t="n"/>
      <c r="J475" s="38" t="n"/>
    </row>
    <row r="476" ht="15" customHeight="1" s="33">
      <c r="A476" s="57">
        <f>IF(B476="","",ROW()-4)</f>
        <v/>
      </c>
      <c r="B476" s="58" t="n"/>
      <c r="C476" s="38" t="n"/>
      <c r="D476" s="38" t="n"/>
      <c r="E476" s="41" t="n"/>
      <c r="F476" s="57">
        <f>IF(D476="","",IFERROR(INDEX(Referensi!$J$5:$J$30,MATCH(D476,Referensi!$I$5:$I$30,0)),"?"))</f>
        <v/>
      </c>
      <c r="G476" s="38" t="n"/>
      <c r="H476" s="38" t="n"/>
      <c r="I476" s="38" t="n"/>
      <c r="J476" s="38" t="n"/>
    </row>
    <row r="477" ht="15" customHeight="1" s="33">
      <c r="A477" s="57">
        <f>IF(B477="","",ROW()-4)</f>
        <v/>
      </c>
      <c r="B477" s="58" t="n"/>
      <c r="C477" s="38" t="n"/>
      <c r="D477" s="38" t="n"/>
      <c r="E477" s="41" t="n"/>
      <c r="F477" s="57">
        <f>IF(D477="","",IFERROR(INDEX(Referensi!$J$5:$J$30,MATCH(D477,Referensi!$I$5:$I$30,0)),"?"))</f>
        <v/>
      </c>
      <c r="G477" s="38" t="n"/>
      <c r="H477" s="38" t="n"/>
      <c r="I477" s="38" t="n"/>
      <c r="J477" s="38" t="n"/>
    </row>
    <row r="478" ht="15" customHeight="1" s="33">
      <c r="A478" s="57">
        <f>IF(B478="","",ROW()-4)</f>
        <v/>
      </c>
      <c r="B478" s="58" t="n"/>
      <c r="C478" s="38" t="n"/>
      <c r="D478" s="38" t="n"/>
      <c r="E478" s="41" t="n"/>
      <c r="F478" s="57">
        <f>IF(D478="","",IFERROR(INDEX(Referensi!$J$5:$J$30,MATCH(D478,Referensi!$I$5:$I$30,0)),"?"))</f>
        <v/>
      </c>
      <c r="G478" s="38" t="n"/>
      <c r="H478" s="38" t="n"/>
      <c r="I478" s="38" t="n"/>
      <c r="J478" s="38" t="n"/>
    </row>
    <row r="479" ht="15" customHeight="1" s="33">
      <c r="A479" s="57">
        <f>IF(B479="","",ROW()-4)</f>
        <v/>
      </c>
      <c r="B479" s="58" t="n"/>
      <c r="C479" s="38" t="n"/>
      <c r="D479" s="38" t="n"/>
      <c r="E479" s="41" t="n"/>
      <c r="F479" s="57">
        <f>IF(D479="","",IFERROR(INDEX(Referensi!$J$5:$J$30,MATCH(D479,Referensi!$I$5:$I$30,0)),"?"))</f>
        <v/>
      </c>
      <c r="G479" s="38" t="n"/>
      <c r="H479" s="38" t="n"/>
      <c r="I479" s="38" t="n"/>
      <c r="J479" s="38" t="n"/>
    </row>
    <row r="480" ht="15" customHeight="1" s="33">
      <c r="A480" s="57">
        <f>IF(B480="","",ROW()-4)</f>
        <v/>
      </c>
      <c r="B480" s="58" t="n"/>
      <c r="C480" s="38" t="n"/>
      <c r="D480" s="38" t="n"/>
      <c r="E480" s="41" t="n"/>
      <c r="F480" s="57">
        <f>IF(D480="","",IFERROR(INDEX(Referensi!$J$5:$J$30,MATCH(D480,Referensi!$I$5:$I$30,0)),"?"))</f>
        <v/>
      </c>
      <c r="G480" s="38" t="n"/>
      <c r="H480" s="38" t="n"/>
      <c r="I480" s="38" t="n"/>
      <c r="J480" s="38" t="n"/>
    </row>
    <row r="481" ht="15" customHeight="1" s="33">
      <c r="A481" s="57">
        <f>IF(B481="","",ROW()-4)</f>
        <v/>
      </c>
      <c r="B481" s="58" t="n"/>
      <c r="C481" s="38" t="n"/>
      <c r="D481" s="38" t="n"/>
      <c r="E481" s="41" t="n"/>
      <c r="F481" s="57">
        <f>IF(D481="","",IFERROR(INDEX(Referensi!$J$5:$J$30,MATCH(D481,Referensi!$I$5:$I$30,0)),"?"))</f>
        <v/>
      </c>
      <c r="G481" s="38" t="n"/>
      <c r="H481" s="38" t="n"/>
      <c r="I481" s="38" t="n"/>
      <c r="J481" s="38" t="n"/>
    </row>
    <row r="482" ht="15" customHeight="1" s="33">
      <c r="A482" s="57">
        <f>IF(B482="","",ROW()-4)</f>
        <v/>
      </c>
      <c r="B482" s="58" t="n"/>
      <c r="C482" s="38" t="n"/>
      <c r="D482" s="38" t="n"/>
      <c r="E482" s="41" t="n"/>
      <c r="F482" s="57">
        <f>IF(D482="","",IFERROR(INDEX(Referensi!$J$5:$J$30,MATCH(D482,Referensi!$I$5:$I$30,0)),"?"))</f>
        <v/>
      </c>
      <c r="G482" s="38" t="n"/>
      <c r="H482" s="38" t="n"/>
      <c r="I482" s="38" t="n"/>
      <c r="J482" s="38" t="n"/>
    </row>
    <row r="483" ht="15" customHeight="1" s="33">
      <c r="A483" s="57">
        <f>IF(B483="","",ROW()-4)</f>
        <v/>
      </c>
      <c r="B483" s="58" t="n"/>
      <c r="C483" s="38" t="n"/>
      <c r="D483" s="38" t="n"/>
      <c r="E483" s="41" t="n"/>
      <c r="F483" s="57">
        <f>IF(D483="","",IFERROR(INDEX(Referensi!$J$5:$J$30,MATCH(D483,Referensi!$I$5:$I$30,0)),"?"))</f>
        <v/>
      </c>
      <c r="G483" s="38" t="n"/>
      <c r="H483" s="38" t="n"/>
      <c r="I483" s="38" t="n"/>
      <c r="J483" s="38" t="n"/>
    </row>
    <row r="484" ht="15" customHeight="1" s="33">
      <c r="A484" s="57">
        <f>IF(B484="","",ROW()-4)</f>
        <v/>
      </c>
      <c r="B484" s="58" t="n"/>
      <c r="C484" s="38" t="n"/>
      <c r="D484" s="38" t="n"/>
      <c r="E484" s="41" t="n"/>
      <c r="F484" s="57">
        <f>IF(D484="","",IFERROR(INDEX(Referensi!$J$5:$J$30,MATCH(D484,Referensi!$I$5:$I$30,0)),"?"))</f>
        <v/>
      </c>
      <c r="G484" s="38" t="n"/>
      <c r="H484" s="38" t="n"/>
      <c r="I484" s="38" t="n"/>
      <c r="J484" s="38" t="n"/>
    </row>
    <row r="485" ht="15" customHeight="1" s="33">
      <c r="A485" s="57">
        <f>IF(B485="","",ROW()-4)</f>
        <v/>
      </c>
      <c r="B485" s="58" t="n"/>
      <c r="C485" s="38" t="n"/>
      <c r="D485" s="38" t="n"/>
      <c r="E485" s="41" t="n"/>
      <c r="F485" s="57">
        <f>IF(D485="","",IFERROR(INDEX(Referensi!$J$5:$J$30,MATCH(D485,Referensi!$I$5:$I$30,0)),"?"))</f>
        <v/>
      </c>
      <c r="G485" s="38" t="n"/>
      <c r="H485" s="38" t="n"/>
      <c r="I485" s="38" t="n"/>
      <c r="J485" s="38" t="n"/>
    </row>
    <row r="486" ht="15" customHeight="1" s="33">
      <c r="A486" s="57">
        <f>IF(B486="","",ROW()-4)</f>
        <v/>
      </c>
      <c r="B486" s="58" t="n"/>
      <c r="C486" s="38" t="n"/>
      <c r="D486" s="38" t="n"/>
      <c r="E486" s="41" t="n"/>
      <c r="F486" s="57">
        <f>IF(D486="","",IFERROR(INDEX(Referensi!$J$5:$J$30,MATCH(D486,Referensi!$I$5:$I$30,0)),"?"))</f>
        <v/>
      </c>
      <c r="G486" s="38" t="n"/>
      <c r="H486" s="38" t="n"/>
      <c r="I486" s="38" t="n"/>
      <c r="J486" s="38" t="n"/>
    </row>
    <row r="487" ht="15" customHeight="1" s="33">
      <c r="A487" s="57">
        <f>IF(B487="","",ROW()-4)</f>
        <v/>
      </c>
      <c r="B487" s="58" t="n"/>
      <c r="C487" s="38" t="n"/>
      <c r="D487" s="38" t="n"/>
      <c r="E487" s="41" t="n"/>
      <c r="F487" s="57">
        <f>IF(D487="","",IFERROR(INDEX(Referensi!$J$5:$J$30,MATCH(D487,Referensi!$I$5:$I$30,0)),"?"))</f>
        <v/>
      </c>
      <c r="G487" s="38" t="n"/>
      <c r="H487" s="38" t="n"/>
      <c r="I487" s="38" t="n"/>
      <c r="J487" s="38" t="n"/>
    </row>
    <row r="488" ht="15" customHeight="1" s="33">
      <c r="A488" s="57">
        <f>IF(B488="","",ROW()-4)</f>
        <v/>
      </c>
      <c r="B488" s="58" t="n"/>
      <c r="C488" s="38" t="n"/>
      <c r="D488" s="38" t="n"/>
      <c r="E488" s="41" t="n"/>
      <c r="F488" s="57">
        <f>IF(D488="","",IFERROR(INDEX(Referensi!$J$5:$J$30,MATCH(D488,Referensi!$I$5:$I$30,0)),"?"))</f>
        <v/>
      </c>
      <c r="G488" s="38" t="n"/>
      <c r="H488" s="38" t="n"/>
      <c r="I488" s="38" t="n"/>
      <c r="J488" s="38" t="n"/>
    </row>
    <row r="489" ht="15" customHeight="1" s="33">
      <c r="A489" s="57">
        <f>IF(B489="","",ROW()-4)</f>
        <v/>
      </c>
      <c r="B489" s="58" t="n"/>
      <c r="C489" s="38" t="n"/>
      <c r="D489" s="38" t="n"/>
      <c r="E489" s="41" t="n"/>
      <c r="F489" s="57">
        <f>IF(D489="","",IFERROR(INDEX(Referensi!$J$5:$J$30,MATCH(D489,Referensi!$I$5:$I$30,0)),"?"))</f>
        <v/>
      </c>
      <c r="G489" s="38" t="n"/>
      <c r="H489" s="38" t="n"/>
      <c r="I489" s="38" t="n"/>
      <c r="J489" s="38" t="n"/>
    </row>
    <row r="490" ht="15" customHeight="1" s="33">
      <c r="A490" s="57">
        <f>IF(B490="","",ROW()-4)</f>
        <v/>
      </c>
      <c r="B490" s="58" t="n"/>
      <c r="C490" s="38" t="n"/>
      <c r="D490" s="38" t="n"/>
      <c r="E490" s="41" t="n"/>
      <c r="F490" s="57">
        <f>IF(D490="","",IFERROR(INDEX(Referensi!$J$5:$J$30,MATCH(D490,Referensi!$I$5:$I$30,0)),"?"))</f>
        <v/>
      </c>
      <c r="G490" s="38" t="n"/>
      <c r="H490" s="38" t="n"/>
      <c r="I490" s="38" t="n"/>
      <c r="J490" s="38" t="n"/>
    </row>
    <row r="491" ht="15" customHeight="1" s="33">
      <c r="A491" s="57">
        <f>IF(B491="","",ROW()-4)</f>
        <v/>
      </c>
      <c r="B491" s="58" t="n"/>
      <c r="C491" s="38" t="n"/>
      <c r="D491" s="38" t="n"/>
      <c r="E491" s="41" t="n"/>
      <c r="F491" s="57">
        <f>IF(D491="","",IFERROR(INDEX(Referensi!$J$5:$J$30,MATCH(D491,Referensi!$I$5:$I$30,0)),"?"))</f>
        <v/>
      </c>
      <c r="G491" s="38" t="n"/>
      <c r="H491" s="38" t="n"/>
      <c r="I491" s="38" t="n"/>
      <c r="J491" s="38" t="n"/>
    </row>
    <row r="492" ht="15" customHeight="1" s="33">
      <c r="A492" s="57">
        <f>IF(B492="","",ROW()-4)</f>
        <v/>
      </c>
      <c r="B492" s="58" t="n"/>
      <c r="C492" s="38" t="n"/>
      <c r="D492" s="38" t="n"/>
      <c r="E492" s="41" t="n"/>
      <c r="F492" s="57">
        <f>IF(D492="","",IFERROR(INDEX(Referensi!$J$5:$J$30,MATCH(D492,Referensi!$I$5:$I$30,0)),"?"))</f>
        <v/>
      </c>
      <c r="G492" s="38" t="n"/>
      <c r="H492" s="38" t="n"/>
      <c r="I492" s="38" t="n"/>
      <c r="J492" s="38" t="n"/>
    </row>
    <row r="493" ht="15" customHeight="1" s="33">
      <c r="A493" s="57">
        <f>IF(B493="","",ROW()-4)</f>
        <v/>
      </c>
      <c r="B493" s="58" t="n"/>
      <c r="C493" s="38" t="n"/>
      <c r="D493" s="38" t="n"/>
      <c r="E493" s="41" t="n"/>
      <c r="F493" s="57">
        <f>IF(D493="","",IFERROR(INDEX(Referensi!$J$5:$J$30,MATCH(D493,Referensi!$I$5:$I$30,0)),"?"))</f>
        <v/>
      </c>
      <c r="G493" s="38" t="n"/>
      <c r="H493" s="38" t="n"/>
      <c r="I493" s="38" t="n"/>
      <c r="J493" s="38" t="n"/>
    </row>
    <row r="494" ht="15" customHeight="1" s="33">
      <c r="A494" s="57">
        <f>IF(B494="","",ROW()-4)</f>
        <v/>
      </c>
      <c r="B494" s="58" t="n"/>
      <c r="C494" s="38" t="n"/>
      <c r="D494" s="38" t="n"/>
      <c r="E494" s="41" t="n"/>
      <c r="F494" s="57">
        <f>IF(D494="","",IFERROR(INDEX(Referensi!$J$5:$J$30,MATCH(D494,Referensi!$I$5:$I$30,0)),"?"))</f>
        <v/>
      </c>
      <c r="G494" s="38" t="n"/>
      <c r="H494" s="38" t="n"/>
      <c r="I494" s="38" t="n"/>
      <c r="J494" s="38" t="n"/>
    </row>
    <row r="495" ht="15" customHeight="1" s="33">
      <c r="A495" s="57">
        <f>IF(B495="","",ROW()-4)</f>
        <v/>
      </c>
      <c r="B495" s="58" t="n"/>
      <c r="C495" s="38" t="n"/>
      <c r="D495" s="38" t="n"/>
      <c r="E495" s="41" t="n"/>
      <c r="F495" s="57">
        <f>IF(D495="","",IFERROR(INDEX(Referensi!$J$5:$J$30,MATCH(D495,Referensi!$I$5:$I$30,0)),"?"))</f>
        <v/>
      </c>
      <c r="G495" s="38" t="n"/>
      <c r="H495" s="38" t="n"/>
      <c r="I495" s="38" t="n"/>
      <c r="J495" s="38" t="n"/>
    </row>
    <row r="496" ht="15" customHeight="1" s="33">
      <c r="A496" s="57">
        <f>IF(B496="","",ROW()-4)</f>
        <v/>
      </c>
      <c r="B496" s="58" t="n"/>
      <c r="C496" s="38" t="n"/>
      <c r="D496" s="38" t="n"/>
      <c r="E496" s="41" t="n"/>
      <c r="F496" s="57">
        <f>IF(D496="","",IFERROR(INDEX(Referensi!$J$5:$J$30,MATCH(D496,Referensi!$I$5:$I$30,0)),"?"))</f>
        <v/>
      </c>
      <c r="G496" s="38" t="n"/>
      <c r="H496" s="38" t="n"/>
      <c r="I496" s="38" t="n"/>
      <c r="J496" s="38" t="n"/>
    </row>
    <row r="497" ht="15" customHeight="1" s="33">
      <c r="A497" s="57">
        <f>IF(B497="","",ROW()-4)</f>
        <v/>
      </c>
      <c r="B497" s="58" t="n"/>
      <c r="C497" s="38" t="n"/>
      <c r="D497" s="38" t="n"/>
      <c r="E497" s="41" t="n"/>
      <c r="F497" s="57">
        <f>IF(D497="","",IFERROR(INDEX(Referensi!$J$5:$J$30,MATCH(D497,Referensi!$I$5:$I$30,0)),"?"))</f>
        <v/>
      </c>
      <c r="G497" s="38" t="n"/>
      <c r="H497" s="38" t="n"/>
      <c r="I497" s="38" t="n"/>
      <c r="J497" s="38" t="n"/>
    </row>
    <row r="498" ht="15" customHeight="1" s="33">
      <c r="A498" s="57">
        <f>IF(B498="","",ROW()-4)</f>
        <v/>
      </c>
      <c r="B498" s="58" t="n"/>
      <c r="C498" s="38" t="n"/>
      <c r="D498" s="38" t="n"/>
      <c r="E498" s="41" t="n"/>
      <c r="F498" s="57">
        <f>IF(D498="","",IFERROR(INDEX(Referensi!$J$5:$J$30,MATCH(D498,Referensi!$I$5:$I$30,0)),"?"))</f>
        <v/>
      </c>
      <c r="G498" s="38" t="n"/>
      <c r="H498" s="38" t="n"/>
      <c r="I498" s="38" t="n"/>
      <c r="J498" s="38" t="n"/>
    </row>
    <row r="499" ht="15" customHeight="1" s="33">
      <c r="A499" s="57">
        <f>IF(B499="","",ROW()-4)</f>
        <v/>
      </c>
      <c r="B499" s="58" t="n"/>
      <c r="C499" s="38" t="n"/>
      <c r="D499" s="38" t="n"/>
      <c r="E499" s="41" t="n"/>
      <c r="F499" s="57">
        <f>IF(D499="","",IFERROR(INDEX(Referensi!$J$5:$J$30,MATCH(D499,Referensi!$I$5:$I$30,0)),"?"))</f>
        <v/>
      </c>
      <c r="G499" s="38" t="n"/>
      <c r="H499" s="38" t="n"/>
      <c r="I499" s="38" t="n"/>
      <c r="J499" s="38" t="n"/>
    </row>
    <row r="500" ht="15" customHeight="1" s="33">
      <c r="A500" s="57">
        <f>IF(B500="","",ROW()-4)</f>
        <v/>
      </c>
      <c r="B500" s="58" t="n"/>
      <c r="C500" s="38" t="n"/>
      <c r="D500" s="38" t="n"/>
      <c r="E500" s="41" t="n"/>
      <c r="F500" s="57">
        <f>IF(D500="","",IFERROR(INDEX(Referensi!$J$5:$J$30,MATCH(D500,Referensi!$I$5:$I$30,0)),"?"))</f>
        <v/>
      </c>
      <c r="G500" s="38" t="n"/>
      <c r="H500" s="38" t="n"/>
      <c r="I500" s="38" t="n"/>
      <c r="J500" s="38" t="n"/>
    </row>
    <row r="501" ht="15" customHeight="1" s="33">
      <c r="A501" s="57">
        <f>IF(B501="","",ROW()-4)</f>
        <v/>
      </c>
      <c r="B501" s="58" t="n"/>
      <c r="C501" s="38" t="n"/>
      <c r="D501" s="38" t="n"/>
      <c r="E501" s="41" t="n"/>
      <c r="F501" s="57">
        <f>IF(D501="","",IFERROR(INDEX(Referensi!$J$5:$J$30,MATCH(D501,Referensi!$I$5:$I$30,0)),"?"))</f>
        <v/>
      </c>
      <c r="G501" s="38" t="n"/>
      <c r="H501" s="38" t="n"/>
      <c r="I501" s="38" t="n"/>
      <c r="J501" s="38" t="n"/>
    </row>
    <row r="502" ht="15" customHeight="1" s="33">
      <c r="A502" s="57">
        <f>IF(B502="","",ROW()-4)</f>
        <v/>
      </c>
      <c r="B502" s="58" t="n"/>
      <c r="C502" s="38" t="n"/>
      <c r="D502" s="38" t="n"/>
      <c r="E502" s="41" t="n"/>
      <c r="F502" s="57">
        <f>IF(D502="","",IFERROR(INDEX(Referensi!$J$5:$J$30,MATCH(D502,Referensi!$I$5:$I$30,0)),"?"))</f>
        <v/>
      </c>
      <c r="G502" s="38" t="n"/>
      <c r="H502" s="38" t="n"/>
      <c r="I502" s="38" t="n"/>
      <c r="J502" s="38" t="n"/>
    </row>
    <row r="503" ht="15" customHeight="1" s="33">
      <c r="A503" s="57">
        <f>IF(B503="","",ROW()-4)</f>
        <v/>
      </c>
      <c r="B503" s="58" t="n"/>
      <c r="C503" s="38" t="n"/>
      <c r="D503" s="38" t="n"/>
      <c r="E503" s="41" t="n"/>
      <c r="F503" s="57">
        <f>IF(D503="","",IFERROR(INDEX(Referensi!$J$5:$J$30,MATCH(D503,Referensi!$I$5:$I$30,0)),"?"))</f>
        <v/>
      </c>
      <c r="G503" s="38" t="n"/>
      <c r="H503" s="38" t="n"/>
      <c r="I503" s="38" t="n"/>
      <c r="J503" s="38" t="n"/>
    </row>
    <row r="504" ht="15" customHeight="1" s="33">
      <c r="A504" s="57">
        <f>IF(B504="","",ROW()-4)</f>
        <v/>
      </c>
      <c r="B504" s="58" t="n"/>
      <c r="C504" s="38" t="n"/>
      <c r="D504" s="38" t="n"/>
      <c r="E504" s="41" t="n"/>
      <c r="F504" s="57">
        <f>IF(D504="","",IFERROR(INDEX(Referensi!$J$5:$J$30,MATCH(D504,Referensi!$I$5:$I$30,0)),"?"))</f>
        <v/>
      </c>
      <c r="G504" s="38" t="n"/>
      <c r="H504" s="38" t="n"/>
      <c r="I504" s="38" t="n"/>
      <c r="J504" s="38" t="n"/>
    </row>
    <row r="505" ht="15" customHeight="1" s="33">
      <c r="A505" s="57">
        <f>IF(B505="","",ROW()-4)</f>
        <v/>
      </c>
      <c r="B505" s="58" t="n"/>
      <c r="C505" s="38" t="n"/>
      <c r="D505" s="38" t="n"/>
      <c r="E505" s="41" t="n"/>
      <c r="F505" s="57">
        <f>IF(D505="","",IFERROR(INDEX(Referensi!$J$5:$J$30,MATCH(D505,Referensi!$I$5:$I$30,0)),"?"))</f>
        <v/>
      </c>
      <c r="G505" s="38" t="n"/>
      <c r="H505" s="38" t="n"/>
      <c r="I505" s="38" t="n"/>
      <c r="J505" s="38" t="n"/>
    </row>
    <row r="506" ht="15" customHeight="1" s="33">
      <c r="A506" s="57">
        <f>IF(B506="","",ROW()-4)</f>
        <v/>
      </c>
      <c r="B506" s="58" t="n"/>
      <c r="C506" s="38" t="n"/>
      <c r="D506" s="38" t="n"/>
      <c r="E506" s="41" t="n"/>
      <c r="F506" s="57">
        <f>IF(D506="","",IFERROR(INDEX(Referensi!$J$5:$J$30,MATCH(D506,Referensi!$I$5:$I$30,0)),"?"))</f>
        <v/>
      </c>
      <c r="G506" s="38" t="n"/>
      <c r="H506" s="38" t="n"/>
      <c r="I506" s="38" t="n"/>
      <c r="J506" s="38" t="n"/>
    </row>
    <row r="507" ht="15" customHeight="1" s="33">
      <c r="A507" s="57">
        <f>IF(B507="","",ROW()-4)</f>
        <v/>
      </c>
      <c r="B507" s="58" t="n"/>
      <c r="C507" s="38" t="n"/>
      <c r="D507" s="38" t="n"/>
      <c r="E507" s="41" t="n"/>
      <c r="F507" s="57">
        <f>IF(D507="","",IFERROR(INDEX(Referensi!$J$5:$J$30,MATCH(D507,Referensi!$I$5:$I$30,0)),"?"))</f>
        <v/>
      </c>
      <c r="G507" s="38" t="n"/>
      <c r="H507" s="38" t="n"/>
      <c r="I507" s="38" t="n"/>
      <c r="J507" s="38" t="n"/>
    </row>
    <row r="508" ht="15" customHeight="1" s="33">
      <c r="A508" s="57">
        <f>IF(B508="","",ROW()-4)</f>
        <v/>
      </c>
      <c r="B508" s="58" t="n"/>
      <c r="C508" s="38" t="n"/>
      <c r="D508" s="38" t="n"/>
      <c r="E508" s="41" t="n"/>
      <c r="F508" s="57">
        <f>IF(D508="","",IFERROR(INDEX(Referensi!$J$5:$J$30,MATCH(D508,Referensi!$I$5:$I$30,0)),"?"))</f>
        <v/>
      </c>
      <c r="G508" s="38" t="n"/>
      <c r="H508" s="38" t="n"/>
      <c r="I508" s="38" t="n"/>
      <c r="J508" s="38" t="n"/>
    </row>
    <row r="509" ht="15" customHeight="1" s="33">
      <c r="A509" s="57">
        <f>IF(B509="","",ROW()-4)</f>
        <v/>
      </c>
      <c r="B509" s="58" t="n"/>
      <c r="C509" s="38" t="n"/>
      <c r="D509" s="38" t="n"/>
      <c r="E509" s="41" t="n"/>
      <c r="F509" s="57">
        <f>IF(D509="","",IFERROR(INDEX(Referensi!$J$5:$J$30,MATCH(D509,Referensi!$I$5:$I$30,0)),"?"))</f>
        <v/>
      </c>
      <c r="G509" s="38" t="n"/>
      <c r="H509" s="38" t="n"/>
      <c r="I509" s="38" t="n"/>
      <c r="J509" s="38" t="n"/>
    </row>
    <row r="510" ht="15" customHeight="1" s="33">
      <c r="A510" s="57">
        <f>IF(B510="","",ROW()-4)</f>
        <v/>
      </c>
      <c r="B510" s="58" t="n"/>
      <c r="C510" s="38" t="n"/>
      <c r="D510" s="38" t="n"/>
      <c r="E510" s="41" t="n"/>
      <c r="F510" s="57">
        <f>IF(D510="","",IFERROR(INDEX(Referensi!$J$5:$J$30,MATCH(D510,Referensi!$I$5:$I$30,0)),"?"))</f>
        <v/>
      </c>
      <c r="G510" s="38" t="n"/>
      <c r="H510" s="38" t="n"/>
      <c r="I510" s="38" t="n"/>
      <c r="J510" s="38" t="n"/>
    </row>
    <row r="511" ht="15" customHeight="1" s="33">
      <c r="A511" s="57">
        <f>IF(B511="","",ROW()-4)</f>
        <v/>
      </c>
      <c r="B511" s="58" t="n"/>
      <c r="C511" s="38" t="n"/>
      <c r="D511" s="38" t="n"/>
      <c r="E511" s="41" t="n"/>
      <c r="F511" s="57">
        <f>IF(D511="","",IFERROR(INDEX(Referensi!$J$5:$J$30,MATCH(D511,Referensi!$I$5:$I$30,0)),"?"))</f>
        <v/>
      </c>
      <c r="G511" s="38" t="n"/>
      <c r="H511" s="38" t="n"/>
      <c r="I511" s="38" t="n"/>
      <c r="J511" s="38" t="n"/>
    </row>
    <row r="512" ht="15" customHeight="1" s="33">
      <c r="A512" s="57">
        <f>IF(B512="","",ROW()-4)</f>
        <v/>
      </c>
      <c r="B512" s="58" t="n"/>
      <c r="C512" s="38" t="n"/>
      <c r="D512" s="38" t="n"/>
      <c r="E512" s="41" t="n"/>
      <c r="F512" s="57">
        <f>IF(D512="","",IFERROR(INDEX(Referensi!$J$5:$J$30,MATCH(D512,Referensi!$I$5:$I$30,0)),"?"))</f>
        <v/>
      </c>
      <c r="G512" s="38" t="n"/>
      <c r="H512" s="38" t="n"/>
      <c r="I512" s="38" t="n"/>
      <c r="J512" s="38" t="n"/>
    </row>
    <row r="513" ht="15" customHeight="1" s="33">
      <c r="A513" s="57">
        <f>IF(B513="","",ROW()-4)</f>
        <v/>
      </c>
      <c r="B513" s="58" t="n"/>
      <c r="C513" s="38" t="n"/>
      <c r="D513" s="38" t="n"/>
      <c r="E513" s="41" t="n"/>
      <c r="F513" s="57">
        <f>IF(D513="","",IFERROR(INDEX(Referensi!$J$5:$J$30,MATCH(D513,Referensi!$I$5:$I$30,0)),"?"))</f>
        <v/>
      </c>
      <c r="G513" s="38" t="n"/>
      <c r="H513" s="38" t="n"/>
      <c r="I513" s="38" t="n"/>
      <c r="J513" s="38" t="n"/>
    </row>
    <row r="514" ht="15" customHeight="1" s="33">
      <c r="A514" s="57">
        <f>IF(B514="","",ROW()-4)</f>
        <v/>
      </c>
      <c r="B514" s="58" t="n"/>
      <c r="C514" s="38" t="n"/>
      <c r="D514" s="38" t="n"/>
      <c r="E514" s="41" t="n"/>
      <c r="F514" s="57">
        <f>IF(D514="","",IFERROR(INDEX(Referensi!$J$5:$J$30,MATCH(D514,Referensi!$I$5:$I$30,0)),"?"))</f>
        <v/>
      </c>
      <c r="G514" s="38" t="n"/>
      <c r="H514" s="38" t="n"/>
      <c r="I514" s="38" t="n"/>
      <c r="J514" s="38" t="n"/>
    </row>
    <row r="515" ht="15" customHeight="1" s="33">
      <c r="A515" s="57">
        <f>IF(B515="","",ROW()-4)</f>
        <v/>
      </c>
      <c r="B515" s="58" t="n"/>
      <c r="C515" s="38" t="n"/>
      <c r="D515" s="38" t="n"/>
      <c r="E515" s="41" t="n"/>
      <c r="F515" s="57">
        <f>IF(D515="","",IFERROR(INDEX(Referensi!$J$5:$J$30,MATCH(D515,Referensi!$I$5:$I$30,0)),"?"))</f>
        <v/>
      </c>
      <c r="G515" s="38" t="n"/>
      <c r="H515" s="38" t="n"/>
      <c r="I515" s="38" t="n"/>
      <c r="J515" s="38" t="n"/>
    </row>
    <row r="516" ht="15" customHeight="1" s="33">
      <c r="A516" s="57">
        <f>IF(B516="","",ROW()-4)</f>
        <v/>
      </c>
      <c r="B516" s="58" t="n"/>
      <c r="C516" s="38" t="n"/>
      <c r="D516" s="38" t="n"/>
      <c r="E516" s="41" t="n"/>
      <c r="F516" s="57">
        <f>IF(D516="","",IFERROR(INDEX(Referensi!$J$5:$J$30,MATCH(D516,Referensi!$I$5:$I$30,0)),"?"))</f>
        <v/>
      </c>
      <c r="G516" s="38" t="n"/>
      <c r="H516" s="38" t="n"/>
      <c r="I516" s="38" t="n"/>
      <c r="J516" s="38" t="n"/>
    </row>
    <row r="517" ht="15" customHeight="1" s="33">
      <c r="A517" s="57">
        <f>IF(B517="","",ROW()-4)</f>
        <v/>
      </c>
      <c r="B517" s="58" t="n"/>
      <c r="C517" s="38" t="n"/>
      <c r="D517" s="38" t="n"/>
      <c r="E517" s="41" t="n"/>
      <c r="F517" s="57">
        <f>IF(D517="","",IFERROR(INDEX(Referensi!$J$5:$J$30,MATCH(D517,Referensi!$I$5:$I$30,0)),"?"))</f>
        <v/>
      </c>
      <c r="G517" s="38" t="n"/>
      <c r="H517" s="38" t="n"/>
      <c r="I517" s="38" t="n"/>
      <c r="J517" s="38" t="n"/>
    </row>
    <row r="518" ht="15" customHeight="1" s="33">
      <c r="A518" s="57">
        <f>IF(B518="","",ROW()-4)</f>
        <v/>
      </c>
      <c r="B518" s="58" t="n"/>
      <c r="C518" s="38" t="n"/>
      <c r="D518" s="38" t="n"/>
      <c r="E518" s="41" t="n"/>
      <c r="F518" s="57">
        <f>IF(D518="","",IFERROR(INDEX(Referensi!$J$5:$J$30,MATCH(D518,Referensi!$I$5:$I$30,0)),"?"))</f>
        <v/>
      </c>
      <c r="G518" s="38" t="n"/>
      <c r="H518" s="38" t="n"/>
      <c r="I518" s="38" t="n"/>
      <c r="J518" s="38" t="n"/>
    </row>
    <row r="519" ht="15" customHeight="1" s="33">
      <c r="A519" s="57">
        <f>IF(B519="","",ROW()-4)</f>
        <v/>
      </c>
      <c r="B519" s="58" t="n"/>
      <c r="C519" s="38" t="n"/>
      <c r="D519" s="38" t="n"/>
      <c r="E519" s="41" t="n"/>
      <c r="F519" s="57">
        <f>IF(D519="","",IFERROR(INDEX(Referensi!$J$5:$J$30,MATCH(D519,Referensi!$I$5:$I$30,0)),"?"))</f>
        <v/>
      </c>
      <c r="G519" s="38" t="n"/>
      <c r="H519" s="38" t="n"/>
      <c r="I519" s="38" t="n"/>
      <c r="J519" s="38" t="n"/>
    </row>
    <row r="520" ht="15" customHeight="1" s="33">
      <c r="A520" s="57">
        <f>IF(B520="","",ROW()-4)</f>
        <v/>
      </c>
      <c r="B520" s="58" t="n"/>
      <c r="C520" s="38" t="n"/>
      <c r="D520" s="38" t="n"/>
      <c r="E520" s="41" t="n"/>
      <c r="F520" s="57">
        <f>IF(D520="","",IFERROR(INDEX(Referensi!$J$5:$J$30,MATCH(D520,Referensi!$I$5:$I$30,0)),"?"))</f>
        <v/>
      </c>
      <c r="G520" s="38" t="n"/>
      <c r="H520" s="38" t="n"/>
      <c r="I520" s="38" t="n"/>
      <c r="J520" s="38" t="n"/>
    </row>
    <row r="521" ht="15" customHeight="1" s="33">
      <c r="A521" s="57">
        <f>IF(B521="","",ROW()-4)</f>
        <v/>
      </c>
      <c r="B521" s="58" t="n"/>
      <c r="C521" s="38" t="n"/>
      <c r="D521" s="38" t="n"/>
      <c r="E521" s="41" t="n"/>
      <c r="F521" s="57">
        <f>IF(D521="","",IFERROR(INDEX(Referensi!$J$5:$J$30,MATCH(D521,Referensi!$I$5:$I$30,0)),"?"))</f>
        <v/>
      </c>
      <c r="G521" s="38" t="n"/>
      <c r="H521" s="38" t="n"/>
      <c r="I521" s="38" t="n"/>
      <c r="J521" s="38" t="n"/>
    </row>
    <row r="522" ht="15" customHeight="1" s="33">
      <c r="A522" s="57">
        <f>IF(B522="","",ROW()-4)</f>
        <v/>
      </c>
      <c r="B522" s="58" t="n"/>
      <c r="C522" s="38" t="n"/>
      <c r="D522" s="38" t="n"/>
      <c r="E522" s="41" t="n"/>
      <c r="F522" s="57">
        <f>IF(D522="","",IFERROR(INDEX(Referensi!$J$5:$J$30,MATCH(D522,Referensi!$I$5:$I$30,0)),"?"))</f>
        <v/>
      </c>
      <c r="G522" s="38" t="n"/>
      <c r="H522" s="38" t="n"/>
      <c r="I522" s="38" t="n"/>
      <c r="J522" s="38" t="n"/>
    </row>
    <row r="523" ht="15" customHeight="1" s="33">
      <c r="A523" s="57">
        <f>IF(B523="","",ROW()-4)</f>
        <v/>
      </c>
      <c r="B523" s="58" t="n"/>
      <c r="C523" s="38" t="n"/>
      <c r="D523" s="38" t="n"/>
      <c r="E523" s="41" t="n"/>
      <c r="F523" s="57">
        <f>IF(D523="","",IFERROR(INDEX(Referensi!$J$5:$J$30,MATCH(D523,Referensi!$I$5:$I$30,0)),"?"))</f>
        <v/>
      </c>
      <c r="G523" s="38" t="n"/>
      <c r="H523" s="38" t="n"/>
      <c r="I523" s="38" t="n"/>
      <c r="J523" s="38" t="n"/>
    </row>
    <row r="524" ht="15" customHeight="1" s="33">
      <c r="A524" s="57">
        <f>IF(B524="","",ROW()-4)</f>
        <v/>
      </c>
      <c r="B524" s="58" t="n"/>
      <c r="C524" s="38" t="n"/>
      <c r="D524" s="38" t="n"/>
      <c r="E524" s="41" t="n"/>
      <c r="F524" s="57">
        <f>IF(D524="","",IFERROR(INDEX(Referensi!$J$5:$J$30,MATCH(D524,Referensi!$I$5:$I$30,0)),"?"))</f>
        <v/>
      </c>
      <c r="G524" s="38" t="n"/>
      <c r="H524" s="38" t="n"/>
      <c r="I524" s="38" t="n"/>
      <c r="J524" s="38" t="n"/>
    </row>
    <row r="525" ht="15" customHeight="1" s="33">
      <c r="A525" s="57">
        <f>IF(B525="","",ROW()-4)</f>
        <v/>
      </c>
      <c r="B525" s="58" t="n"/>
      <c r="C525" s="38" t="n"/>
      <c r="D525" s="38" t="n"/>
      <c r="E525" s="41" t="n"/>
      <c r="F525" s="57">
        <f>IF(D525="","",IFERROR(INDEX(Referensi!$J$5:$J$30,MATCH(D525,Referensi!$I$5:$I$30,0)),"?"))</f>
        <v/>
      </c>
      <c r="G525" s="38" t="n"/>
      <c r="H525" s="38" t="n"/>
      <c r="I525" s="38" t="n"/>
      <c r="J525" s="38" t="n"/>
    </row>
    <row r="526" ht="15" customHeight="1" s="33">
      <c r="A526" s="57">
        <f>IF(B526="","",ROW()-4)</f>
        <v/>
      </c>
      <c r="B526" s="58" t="n"/>
      <c r="C526" s="38" t="n"/>
      <c r="D526" s="38" t="n"/>
      <c r="E526" s="41" t="n"/>
      <c r="F526" s="57">
        <f>IF(D526="","",IFERROR(INDEX(Referensi!$J$5:$J$30,MATCH(D526,Referensi!$I$5:$I$30,0)),"?"))</f>
        <v/>
      </c>
      <c r="G526" s="38" t="n"/>
      <c r="H526" s="38" t="n"/>
      <c r="I526" s="38" t="n"/>
      <c r="J526" s="38" t="n"/>
    </row>
    <row r="527" ht="15" customHeight="1" s="33">
      <c r="A527" s="57">
        <f>IF(B527="","",ROW()-4)</f>
        <v/>
      </c>
      <c r="B527" s="58" t="n"/>
      <c r="C527" s="38" t="n"/>
      <c r="D527" s="38" t="n"/>
      <c r="E527" s="41" t="n"/>
      <c r="F527" s="57">
        <f>IF(D527="","",IFERROR(INDEX(Referensi!$J$5:$J$30,MATCH(D527,Referensi!$I$5:$I$30,0)),"?"))</f>
        <v/>
      </c>
      <c r="G527" s="38" t="n"/>
      <c r="H527" s="38" t="n"/>
      <c r="I527" s="38" t="n"/>
      <c r="J527" s="38" t="n"/>
    </row>
    <row r="528" ht="15" customHeight="1" s="33">
      <c r="A528" s="57">
        <f>IF(B528="","",ROW()-4)</f>
        <v/>
      </c>
      <c r="B528" s="58" t="n"/>
      <c r="C528" s="38" t="n"/>
      <c r="D528" s="38" t="n"/>
      <c r="E528" s="41" t="n"/>
      <c r="F528" s="57">
        <f>IF(D528="","",IFERROR(INDEX(Referensi!$J$5:$J$30,MATCH(D528,Referensi!$I$5:$I$30,0)),"?"))</f>
        <v/>
      </c>
      <c r="G528" s="38" t="n"/>
      <c r="H528" s="38" t="n"/>
      <c r="I528" s="38" t="n"/>
      <c r="J528" s="38" t="n"/>
    </row>
    <row r="529" ht="15" customHeight="1" s="33">
      <c r="A529" s="57">
        <f>IF(B529="","",ROW()-4)</f>
        <v/>
      </c>
      <c r="B529" s="58" t="n"/>
      <c r="C529" s="38" t="n"/>
      <c r="D529" s="38" t="n"/>
      <c r="E529" s="41" t="n"/>
      <c r="F529" s="57">
        <f>IF(D529="","",IFERROR(INDEX(Referensi!$J$5:$J$30,MATCH(D529,Referensi!$I$5:$I$30,0)),"?"))</f>
        <v/>
      </c>
      <c r="G529" s="38" t="n"/>
      <c r="H529" s="38" t="n"/>
      <c r="I529" s="38" t="n"/>
      <c r="J529" s="38" t="n"/>
    </row>
    <row r="530" ht="15" customHeight="1" s="33">
      <c r="A530" s="57">
        <f>IF(B530="","",ROW()-4)</f>
        <v/>
      </c>
      <c r="B530" s="58" t="n"/>
      <c r="C530" s="38" t="n"/>
      <c r="D530" s="38" t="n"/>
      <c r="E530" s="41" t="n"/>
      <c r="F530" s="57">
        <f>IF(D530="","",IFERROR(INDEX(Referensi!$J$5:$J$30,MATCH(D530,Referensi!$I$5:$I$30,0)),"?"))</f>
        <v/>
      </c>
      <c r="G530" s="38" t="n"/>
      <c r="H530" s="38" t="n"/>
      <c r="I530" s="38" t="n"/>
      <c r="J530" s="38" t="n"/>
    </row>
    <row r="531" ht="15" customHeight="1" s="33">
      <c r="A531" s="57">
        <f>IF(B531="","",ROW()-4)</f>
        <v/>
      </c>
      <c r="B531" s="58" t="n"/>
      <c r="C531" s="38" t="n"/>
      <c r="D531" s="38" t="n"/>
      <c r="E531" s="41" t="n"/>
      <c r="F531" s="57">
        <f>IF(D531="","",IFERROR(INDEX(Referensi!$J$5:$J$30,MATCH(D531,Referensi!$I$5:$I$30,0)),"?"))</f>
        <v/>
      </c>
      <c r="G531" s="38" t="n"/>
      <c r="H531" s="38" t="n"/>
      <c r="I531" s="38" t="n"/>
      <c r="J531" s="38" t="n"/>
    </row>
    <row r="532" ht="15" customHeight="1" s="33">
      <c r="A532" s="57">
        <f>IF(B532="","",ROW()-4)</f>
        <v/>
      </c>
      <c r="B532" s="58" t="n"/>
      <c r="C532" s="38" t="n"/>
      <c r="D532" s="38" t="n"/>
      <c r="E532" s="41" t="n"/>
      <c r="F532" s="57">
        <f>IF(D532="","",IFERROR(INDEX(Referensi!$J$5:$J$30,MATCH(D532,Referensi!$I$5:$I$30,0)),"?"))</f>
        <v/>
      </c>
      <c r="G532" s="38" t="n"/>
      <c r="H532" s="38" t="n"/>
      <c r="I532" s="38" t="n"/>
      <c r="J532" s="38" t="n"/>
    </row>
    <row r="533" ht="15" customHeight="1" s="33">
      <c r="A533" s="57">
        <f>IF(B533="","",ROW()-4)</f>
        <v/>
      </c>
      <c r="B533" s="58" t="n"/>
      <c r="C533" s="38" t="n"/>
      <c r="D533" s="38" t="n"/>
      <c r="E533" s="41" t="n"/>
      <c r="F533" s="57">
        <f>IF(D533="","",IFERROR(INDEX(Referensi!$J$5:$J$30,MATCH(D533,Referensi!$I$5:$I$30,0)),"?"))</f>
        <v/>
      </c>
      <c r="G533" s="38" t="n"/>
      <c r="H533" s="38" t="n"/>
      <c r="I533" s="38" t="n"/>
      <c r="J533" s="38" t="n"/>
    </row>
    <row r="534" ht="15" customHeight="1" s="33">
      <c r="A534" s="57">
        <f>IF(B534="","",ROW()-4)</f>
        <v/>
      </c>
      <c r="B534" s="58" t="n"/>
      <c r="C534" s="38" t="n"/>
      <c r="D534" s="38" t="n"/>
      <c r="E534" s="41" t="n"/>
      <c r="F534" s="57">
        <f>IF(D534="","",IFERROR(INDEX(Referensi!$J$5:$J$30,MATCH(D534,Referensi!$I$5:$I$30,0)),"?"))</f>
        <v/>
      </c>
      <c r="G534" s="38" t="n"/>
      <c r="H534" s="38" t="n"/>
      <c r="I534" s="38" t="n"/>
      <c r="J534" s="38" t="n"/>
    </row>
    <row r="535" ht="15" customHeight="1" s="33">
      <c r="A535" s="57">
        <f>IF(B535="","",ROW()-4)</f>
        <v/>
      </c>
      <c r="B535" s="58" t="n"/>
      <c r="C535" s="38" t="n"/>
      <c r="D535" s="38" t="n"/>
      <c r="E535" s="41" t="n"/>
      <c r="F535" s="57">
        <f>IF(D535="","",IFERROR(INDEX(Referensi!$J$5:$J$30,MATCH(D535,Referensi!$I$5:$I$30,0)),"?"))</f>
        <v/>
      </c>
      <c r="G535" s="38" t="n"/>
      <c r="H535" s="38" t="n"/>
      <c r="I535" s="38" t="n"/>
      <c r="J535" s="38" t="n"/>
    </row>
    <row r="536" ht="15" customHeight="1" s="33">
      <c r="A536" s="57">
        <f>IF(B536="","",ROW()-4)</f>
        <v/>
      </c>
      <c r="B536" s="58" t="n"/>
      <c r="C536" s="38" t="n"/>
      <c r="D536" s="38" t="n"/>
      <c r="E536" s="41" t="n"/>
      <c r="F536" s="57">
        <f>IF(D536="","",IFERROR(INDEX(Referensi!$J$5:$J$30,MATCH(D536,Referensi!$I$5:$I$30,0)),"?"))</f>
        <v/>
      </c>
      <c r="G536" s="38" t="n"/>
      <c r="H536" s="38" t="n"/>
      <c r="I536" s="38" t="n"/>
      <c r="J536" s="38" t="n"/>
    </row>
    <row r="537" ht="15" customHeight="1" s="33">
      <c r="A537" s="57">
        <f>IF(B537="","",ROW()-4)</f>
        <v/>
      </c>
      <c r="B537" s="58" t="n"/>
      <c r="C537" s="38" t="n"/>
      <c r="D537" s="38" t="n"/>
      <c r="E537" s="41" t="n"/>
      <c r="F537" s="57">
        <f>IF(D537="","",IFERROR(INDEX(Referensi!$J$5:$J$30,MATCH(D537,Referensi!$I$5:$I$30,0)),"?"))</f>
        <v/>
      </c>
      <c r="G537" s="38" t="n"/>
      <c r="H537" s="38" t="n"/>
      <c r="I537" s="38" t="n"/>
      <c r="J537" s="38" t="n"/>
    </row>
    <row r="538" ht="15" customHeight="1" s="33">
      <c r="A538" s="57">
        <f>IF(B538="","",ROW()-4)</f>
        <v/>
      </c>
      <c r="B538" s="58" t="n"/>
      <c r="C538" s="38" t="n"/>
      <c r="D538" s="38" t="n"/>
      <c r="E538" s="41" t="n"/>
      <c r="F538" s="57">
        <f>IF(D538="","",IFERROR(INDEX(Referensi!$J$5:$J$30,MATCH(D538,Referensi!$I$5:$I$30,0)),"?"))</f>
        <v/>
      </c>
      <c r="G538" s="38" t="n"/>
      <c r="H538" s="38" t="n"/>
      <c r="I538" s="38" t="n"/>
      <c r="J538" s="38" t="n"/>
    </row>
    <row r="539" ht="15" customHeight="1" s="33">
      <c r="A539" s="57">
        <f>IF(B539="","",ROW()-4)</f>
        <v/>
      </c>
      <c r="B539" s="58" t="n"/>
      <c r="C539" s="38" t="n"/>
      <c r="D539" s="38" t="n"/>
      <c r="E539" s="41" t="n"/>
      <c r="F539" s="57">
        <f>IF(D539="","",IFERROR(INDEX(Referensi!$J$5:$J$30,MATCH(D539,Referensi!$I$5:$I$30,0)),"?"))</f>
        <v/>
      </c>
      <c r="G539" s="38" t="n"/>
      <c r="H539" s="38" t="n"/>
      <c r="I539" s="38" t="n"/>
      <c r="J539" s="38" t="n"/>
    </row>
    <row r="540" ht="15" customHeight="1" s="33">
      <c r="A540" s="57">
        <f>IF(B540="","",ROW()-4)</f>
        <v/>
      </c>
      <c r="B540" s="58" t="n"/>
      <c r="C540" s="38" t="n"/>
      <c r="D540" s="38" t="n"/>
      <c r="E540" s="41" t="n"/>
      <c r="F540" s="57">
        <f>IF(D540="","",IFERROR(INDEX(Referensi!$J$5:$J$30,MATCH(D540,Referensi!$I$5:$I$30,0)),"?"))</f>
        <v/>
      </c>
      <c r="G540" s="38" t="n"/>
      <c r="H540" s="38" t="n"/>
      <c r="I540" s="38" t="n"/>
      <c r="J540" s="38" t="n"/>
    </row>
    <row r="541" ht="15" customHeight="1" s="33">
      <c r="A541" s="57">
        <f>IF(B541="","",ROW()-4)</f>
        <v/>
      </c>
      <c r="B541" s="58" t="n"/>
      <c r="C541" s="38" t="n"/>
      <c r="D541" s="38" t="n"/>
      <c r="E541" s="41" t="n"/>
      <c r="F541" s="57">
        <f>IF(D541="","",IFERROR(INDEX(Referensi!$J$5:$J$30,MATCH(D541,Referensi!$I$5:$I$30,0)),"?"))</f>
        <v/>
      </c>
      <c r="G541" s="38" t="n"/>
      <c r="H541" s="38" t="n"/>
      <c r="I541" s="38" t="n"/>
      <c r="J541" s="38" t="n"/>
    </row>
    <row r="542" ht="15" customHeight="1" s="33">
      <c r="A542" s="57">
        <f>IF(B542="","",ROW()-4)</f>
        <v/>
      </c>
      <c r="B542" s="58" t="n"/>
      <c r="C542" s="38" t="n"/>
      <c r="D542" s="38" t="n"/>
      <c r="E542" s="41" t="n"/>
      <c r="F542" s="57">
        <f>IF(D542="","",IFERROR(INDEX(Referensi!$J$5:$J$30,MATCH(D542,Referensi!$I$5:$I$30,0)),"?"))</f>
        <v/>
      </c>
      <c r="G542" s="38" t="n"/>
      <c r="H542" s="38" t="n"/>
      <c r="I542" s="38" t="n"/>
      <c r="J542" s="38" t="n"/>
    </row>
    <row r="543" ht="15" customHeight="1" s="33">
      <c r="A543" s="57">
        <f>IF(B543="","",ROW()-4)</f>
        <v/>
      </c>
      <c r="B543" s="58" t="n"/>
      <c r="C543" s="38" t="n"/>
      <c r="D543" s="38" t="n"/>
      <c r="E543" s="41" t="n"/>
      <c r="F543" s="57">
        <f>IF(D543="","",IFERROR(INDEX(Referensi!$J$5:$J$30,MATCH(D543,Referensi!$I$5:$I$30,0)),"?"))</f>
        <v/>
      </c>
      <c r="G543" s="38" t="n"/>
      <c r="H543" s="38" t="n"/>
      <c r="I543" s="38" t="n"/>
      <c r="J543" s="38" t="n"/>
    </row>
    <row r="544" ht="15" customHeight="1" s="33">
      <c r="A544" s="57">
        <f>IF(B544="","",ROW()-4)</f>
        <v/>
      </c>
      <c r="B544" s="58" t="n"/>
      <c r="C544" s="38" t="n"/>
      <c r="D544" s="38" t="n"/>
      <c r="E544" s="41" t="n"/>
      <c r="F544" s="57">
        <f>IF(D544="","",IFERROR(INDEX(Referensi!$J$5:$J$30,MATCH(D544,Referensi!$I$5:$I$30,0)),"?"))</f>
        <v/>
      </c>
      <c r="G544" s="38" t="n"/>
      <c r="H544" s="38" t="n"/>
      <c r="I544" s="38" t="n"/>
      <c r="J544" s="38" t="n"/>
    </row>
    <row r="545" ht="15" customHeight="1" s="33">
      <c r="A545" s="57">
        <f>IF(B545="","",ROW()-4)</f>
        <v/>
      </c>
      <c r="B545" s="58" t="n"/>
      <c r="C545" s="38" t="n"/>
      <c r="D545" s="38" t="n"/>
      <c r="E545" s="41" t="n"/>
      <c r="F545" s="57">
        <f>IF(D545="","",IFERROR(INDEX(Referensi!$J$5:$J$30,MATCH(D545,Referensi!$I$5:$I$30,0)),"?"))</f>
        <v/>
      </c>
      <c r="G545" s="38" t="n"/>
      <c r="H545" s="38" t="n"/>
      <c r="I545" s="38" t="n"/>
      <c r="J545" s="38" t="n"/>
    </row>
    <row r="546" ht="15" customHeight="1" s="33">
      <c r="A546" s="57">
        <f>IF(B546="","",ROW()-4)</f>
        <v/>
      </c>
      <c r="B546" s="58" t="n"/>
      <c r="C546" s="38" t="n"/>
      <c r="D546" s="38" t="n"/>
      <c r="E546" s="41" t="n"/>
      <c r="F546" s="57">
        <f>IF(D546="","",IFERROR(INDEX(Referensi!$J$5:$J$30,MATCH(D546,Referensi!$I$5:$I$30,0)),"?"))</f>
        <v/>
      </c>
      <c r="G546" s="38" t="n"/>
      <c r="H546" s="38" t="n"/>
      <c r="I546" s="38" t="n"/>
      <c r="J546" s="38" t="n"/>
    </row>
    <row r="547" ht="15" customHeight="1" s="33">
      <c r="A547" s="57">
        <f>IF(B547="","",ROW()-4)</f>
        <v/>
      </c>
      <c r="B547" s="58" t="n"/>
      <c r="C547" s="38" t="n"/>
      <c r="D547" s="38" t="n"/>
      <c r="E547" s="41" t="n"/>
      <c r="F547" s="57">
        <f>IF(D547="","",IFERROR(INDEX(Referensi!$J$5:$J$30,MATCH(D547,Referensi!$I$5:$I$30,0)),"?"))</f>
        <v/>
      </c>
      <c r="G547" s="38" t="n"/>
      <c r="H547" s="38" t="n"/>
      <c r="I547" s="38" t="n"/>
      <c r="J547" s="38" t="n"/>
    </row>
    <row r="548" ht="15" customHeight="1" s="33">
      <c r="A548" s="57">
        <f>IF(B548="","",ROW()-4)</f>
        <v/>
      </c>
      <c r="B548" s="58" t="n"/>
      <c r="C548" s="38" t="n"/>
      <c r="D548" s="38" t="n"/>
      <c r="E548" s="41" t="n"/>
      <c r="F548" s="57">
        <f>IF(D548="","",IFERROR(INDEX(Referensi!$J$5:$J$30,MATCH(D548,Referensi!$I$5:$I$30,0)),"?"))</f>
        <v/>
      </c>
      <c r="G548" s="38" t="n"/>
      <c r="H548" s="38" t="n"/>
      <c r="I548" s="38" t="n"/>
      <c r="J548" s="38" t="n"/>
    </row>
    <row r="549" ht="15" customHeight="1" s="33">
      <c r="A549" s="57">
        <f>IF(B549="","",ROW()-4)</f>
        <v/>
      </c>
      <c r="B549" s="58" t="n"/>
      <c r="C549" s="38" t="n"/>
      <c r="D549" s="38" t="n"/>
      <c r="E549" s="41" t="n"/>
      <c r="F549" s="57">
        <f>IF(D549="","",IFERROR(INDEX(Referensi!$J$5:$J$30,MATCH(D549,Referensi!$I$5:$I$30,0)),"?"))</f>
        <v/>
      </c>
      <c r="G549" s="38" t="n"/>
      <c r="H549" s="38" t="n"/>
      <c r="I549" s="38" t="n"/>
      <c r="J549" s="38" t="n"/>
    </row>
    <row r="550" ht="15" customHeight="1" s="33">
      <c r="A550" s="57">
        <f>IF(B550="","",ROW()-4)</f>
        <v/>
      </c>
      <c r="B550" s="58" t="n"/>
      <c r="C550" s="38" t="n"/>
      <c r="D550" s="38" t="n"/>
      <c r="E550" s="41" t="n"/>
      <c r="F550" s="57">
        <f>IF(D550="","",IFERROR(INDEX(Referensi!$J$5:$J$30,MATCH(D550,Referensi!$I$5:$I$30,0)),"?"))</f>
        <v/>
      </c>
      <c r="G550" s="38" t="n"/>
      <c r="H550" s="38" t="n"/>
      <c r="I550" s="38" t="n"/>
      <c r="J550" s="38" t="n"/>
    </row>
    <row r="551" ht="15" customHeight="1" s="33">
      <c r="A551" s="57">
        <f>IF(B551="","",ROW()-4)</f>
        <v/>
      </c>
      <c r="B551" s="58" t="n"/>
      <c r="C551" s="38" t="n"/>
      <c r="D551" s="38" t="n"/>
      <c r="E551" s="41" t="n"/>
      <c r="F551" s="57">
        <f>IF(D551="","",IFERROR(INDEX(Referensi!$J$5:$J$30,MATCH(D551,Referensi!$I$5:$I$30,0)),"?"))</f>
        <v/>
      </c>
      <c r="G551" s="38" t="n"/>
      <c r="H551" s="38" t="n"/>
      <c r="I551" s="38" t="n"/>
      <c r="J551" s="38" t="n"/>
    </row>
    <row r="552" ht="15" customHeight="1" s="33">
      <c r="A552" s="57">
        <f>IF(B552="","",ROW()-4)</f>
        <v/>
      </c>
      <c r="B552" s="58" t="n"/>
      <c r="C552" s="38" t="n"/>
      <c r="D552" s="38" t="n"/>
      <c r="E552" s="41" t="n"/>
      <c r="F552" s="57">
        <f>IF(D552="","",IFERROR(INDEX(Referensi!$J$5:$J$30,MATCH(D552,Referensi!$I$5:$I$30,0)),"?"))</f>
        <v/>
      </c>
      <c r="G552" s="38" t="n"/>
      <c r="H552" s="38" t="n"/>
      <c r="I552" s="38" t="n"/>
      <c r="J552" s="38" t="n"/>
    </row>
    <row r="553" ht="15" customHeight="1" s="33">
      <c r="A553" s="57">
        <f>IF(B553="","",ROW()-4)</f>
        <v/>
      </c>
      <c r="B553" s="58" t="n"/>
      <c r="C553" s="38" t="n"/>
      <c r="D553" s="38" t="n"/>
      <c r="E553" s="41" t="n"/>
      <c r="F553" s="57">
        <f>IF(D553="","",IFERROR(INDEX(Referensi!$J$5:$J$30,MATCH(D553,Referensi!$I$5:$I$30,0)),"?"))</f>
        <v/>
      </c>
      <c r="G553" s="38" t="n"/>
      <c r="H553" s="38" t="n"/>
      <c r="I553" s="38" t="n"/>
      <c r="J553" s="38" t="n"/>
    </row>
    <row r="554" ht="15" customHeight="1" s="33">
      <c r="A554" s="57">
        <f>IF(B554="","",ROW()-4)</f>
        <v/>
      </c>
      <c r="B554" s="58" t="n"/>
      <c r="C554" s="38" t="n"/>
      <c r="D554" s="38" t="n"/>
      <c r="E554" s="41" t="n"/>
      <c r="F554" s="57">
        <f>IF(D554="","",IFERROR(INDEX(Referensi!$J$5:$J$30,MATCH(D554,Referensi!$I$5:$I$30,0)),"?"))</f>
        <v/>
      </c>
      <c r="G554" s="38" t="n"/>
      <c r="H554" s="38" t="n"/>
      <c r="I554" s="38" t="n"/>
      <c r="J554" s="38" t="n"/>
    </row>
    <row r="555" ht="15" customHeight="1" s="33">
      <c r="A555" s="57">
        <f>IF(B555="","",ROW()-4)</f>
        <v/>
      </c>
      <c r="B555" s="58" t="n"/>
      <c r="C555" s="38" t="n"/>
      <c r="D555" s="38" t="n"/>
      <c r="E555" s="41" t="n"/>
      <c r="F555" s="57">
        <f>IF(D555="","",IFERROR(INDEX(Referensi!$J$5:$J$30,MATCH(D555,Referensi!$I$5:$I$30,0)),"?"))</f>
        <v/>
      </c>
      <c r="G555" s="38" t="n"/>
      <c r="H555" s="38" t="n"/>
      <c r="I555" s="38" t="n"/>
      <c r="J555" s="38" t="n"/>
    </row>
    <row r="556" ht="15" customHeight="1" s="33">
      <c r="A556" s="57">
        <f>IF(B556="","",ROW()-4)</f>
        <v/>
      </c>
      <c r="B556" s="58" t="n"/>
      <c r="C556" s="38" t="n"/>
      <c r="D556" s="38" t="n"/>
      <c r="E556" s="41" t="n"/>
      <c r="F556" s="57">
        <f>IF(D556="","",IFERROR(INDEX(Referensi!$J$5:$J$30,MATCH(D556,Referensi!$I$5:$I$30,0)),"?"))</f>
        <v/>
      </c>
      <c r="G556" s="38" t="n"/>
      <c r="H556" s="38" t="n"/>
      <c r="I556" s="38" t="n"/>
      <c r="J556" s="38" t="n"/>
    </row>
    <row r="557" ht="15" customHeight="1" s="33">
      <c r="A557" s="57">
        <f>IF(B557="","",ROW()-4)</f>
        <v/>
      </c>
      <c r="B557" s="58" t="n"/>
      <c r="C557" s="38" t="n"/>
      <c r="D557" s="38" t="n"/>
      <c r="E557" s="41" t="n"/>
      <c r="F557" s="57">
        <f>IF(D557="","",IFERROR(INDEX(Referensi!$J$5:$J$30,MATCH(D557,Referensi!$I$5:$I$30,0)),"?"))</f>
        <v/>
      </c>
      <c r="G557" s="38" t="n"/>
      <c r="H557" s="38" t="n"/>
      <c r="I557" s="38" t="n"/>
      <c r="J557" s="38" t="n"/>
    </row>
    <row r="558" ht="15" customHeight="1" s="33">
      <c r="A558" s="57">
        <f>IF(B558="","",ROW()-4)</f>
        <v/>
      </c>
      <c r="B558" s="58" t="n"/>
      <c r="C558" s="38" t="n"/>
      <c r="D558" s="38" t="n"/>
      <c r="E558" s="41" t="n"/>
      <c r="F558" s="57">
        <f>IF(D558="","",IFERROR(INDEX(Referensi!$J$5:$J$30,MATCH(D558,Referensi!$I$5:$I$30,0)),"?"))</f>
        <v/>
      </c>
      <c r="G558" s="38" t="n"/>
      <c r="H558" s="38" t="n"/>
      <c r="I558" s="38" t="n"/>
      <c r="J558" s="38" t="n"/>
    </row>
    <row r="559" ht="15" customHeight="1" s="33">
      <c r="A559" s="57">
        <f>IF(B559="","",ROW()-4)</f>
        <v/>
      </c>
      <c r="B559" s="58" t="n"/>
      <c r="C559" s="38" t="n"/>
      <c r="D559" s="38" t="n"/>
      <c r="E559" s="41" t="n"/>
      <c r="F559" s="57">
        <f>IF(D559="","",IFERROR(INDEX(Referensi!$J$5:$J$30,MATCH(D559,Referensi!$I$5:$I$30,0)),"?"))</f>
        <v/>
      </c>
      <c r="G559" s="38" t="n"/>
      <c r="H559" s="38" t="n"/>
      <c r="I559" s="38" t="n"/>
      <c r="J559" s="38" t="n"/>
    </row>
    <row r="560" ht="15" customHeight="1" s="33">
      <c r="A560" s="57">
        <f>IF(B560="","",ROW()-4)</f>
        <v/>
      </c>
      <c r="B560" s="58" t="n"/>
      <c r="C560" s="38" t="n"/>
      <c r="D560" s="38" t="n"/>
      <c r="E560" s="41" t="n"/>
      <c r="F560" s="57">
        <f>IF(D560="","",IFERROR(INDEX(Referensi!$J$5:$J$30,MATCH(D560,Referensi!$I$5:$I$30,0)),"?"))</f>
        <v/>
      </c>
      <c r="G560" s="38" t="n"/>
      <c r="H560" s="38" t="n"/>
      <c r="I560" s="38" t="n"/>
      <c r="J560" s="38" t="n"/>
    </row>
    <row r="561" ht="15" customHeight="1" s="33">
      <c r="A561" s="57">
        <f>IF(B561="","",ROW()-4)</f>
        <v/>
      </c>
      <c r="B561" s="58" t="n"/>
      <c r="C561" s="38" t="n"/>
      <c r="D561" s="38" t="n"/>
      <c r="E561" s="41" t="n"/>
      <c r="F561" s="57">
        <f>IF(D561="","",IFERROR(INDEX(Referensi!$J$5:$J$30,MATCH(D561,Referensi!$I$5:$I$30,0)),"?"))</f>
        <v/>
      </c>
      <c r="G561" s="38" t="n"/>
      <c r="H561" s="38" t="n"/>
      <c r="I561" s="38" t="n"/>
      <c r="J561" s="38" t="n"/>
    </row>
    <row r="562" ht="15" customHeight="1" s="33">
      <c r="A562" s="57">
        <f>IF(B562="","",ROW()-4)</f>
        <v/>
      </c>
      <c r="B562" s="58" t="n"/>
      <c r="C562" s="38" t="n"/>
      <c r="D562" s="38" t="n"/>
      <c r="E562" s="41" t="n"/>
      <c r="F562" s="57">
        <f>IF(D562="","",IFERROR(INDEX(Referensi!$J$5:$J$30,MATCH(D562,Referensi!$I$5:$I$30,0)),"?"))</f>
        <v/>
      </c>
      <c r="G562" s="38" t="n"/>
      <c r="H562" s="38" t="n"/>
      <c r="I562" s="38" t="n"/>
      <c r="J562" s="38" t="n"/>
    </row>
    <row r="563" ht="15" customHeight="1" s="33">
      <c r="A563" s="57">
        <f>IF(B563="","",ROW()-4)</f>
        <v/>
      </c>
      <c r="B563" s="58" t="n"/>
      <c r="C563" s="38" t="n"/>
      <c r="D563" s="38" t="n"/>
      <c r="E563" s="41" t="n"/>
      <c r="F563" s="57">
        <f>IF(D563="","",IFERROR(INDEX(Referensi!$J$5:$J$30,MATCH(D563,Referensi!$I$5:$I$30,0)),"?"))</f>
        <v/>
      </c>
      <c r="G563" s="38" t="n"/>
      <c r="H563" s="38" t="n"/>
      <c r="I563" s="38" t="n"/>
      <c r="J563" s="38" t="n"/>
    </row>
    <row r="564" ht="15" customHeight="1" s="33">
      <c r="A564" s="57">
        <f>IF(B564="","",ROW()-4)</f>
        <v/>
      </c>
      <c r="B564" s="58" t="n"/>
      <c r="C564" s="38" t="n"/>
      <c r="D564" s="38" t="n"/>
      <c r="E564" s="41" t="n"/>
      <c r="F564" s="57">
        <f>IF(D564="","",IFERROR(INDEX(Referensi!$J$5:$J$30,MATCH(D564,Referensi!$I$5:$I$30,0)),"?"))</f>
        <v/>
      </c>
      <c r="G564" s="38" t="n"/>
      <c r="H564" s="38" t="n"/>
      <c r="I564" s="38" t="n"/>
      <c r="J564" s="38" t="n"/>
    </row>
    <row r="565" ht="15" customHeight="1" s="33">
      <c r="A565" s="57">
        <f>IF(B565="","",ROW()-4)</f>
        <v/>
      </c>
      <c r="B565" s="58" t="n"/>
      <c r="C565" s="38" t="n"/>
      <c r="D565" s="38" t="n"/>
      <c r="E565" s="41" t="n"/>
      <c r="F565" s="57">
        <f>IF(D565="","",IFERROR(INDEX(Referensi!$J$5:$J$30,MATCH(D565,Referensi!$I$5:$I$30,0)),"?"))</f>
        <v/>
      </c>
      <c r="G565" s="38" t="n"/>
      <c r="H565" s="38" t="n"/>
      <c r="I565" s="38" t="n"/>
      <c r="J565" s="38" t="n"/>
    </row>
    <row r="566" ht="15" customHeight="1" s="33">
      <c r="A566" s="57">
        <f>IF(B566="","",ROW()-4)</f>
        <v/>
      </c>
      <c r="B566" s="58" t="n"/>
      <c r="C566" s="38" t="n"/>
      <c r="D566" s="38" t="n"/>
      <c r="E566" s="41" t="n"/>
      <c r="F566" s="57">
        <f>IF(D566="","",IFERROR(INDEX(Referensi!$J$5:$J$30,MATCH(D566,Referensi!$I$5:$I$30,0)),"?"))</f>
        <v/>
      </c>
      <c r="G566" s="38" t="n"/>
      <c r="H566" s="38" t="n"/>
      <c r="I566" s="38" t="n"/>
      <c r="J566" s="38" t="n"/>
    </row>
    <row r="567" ht="15" customHeight="1" s="33">
      <c r="A567" s="57">
        <f>IF(B567="","",ROW()-4)</f>
        <v/>
      </c>
      <c r="B567" s="58" t="n"/>
      <c r="C567" s="38" t="n"/>
      <c r="D567" s="38" t="n"/>
      <c r="E567" s="41" t="n"/>
      <c r="F567" s="57">
        <f>IF(D567="","",IFERROR(INDEX(Referensi!$J$5:$J$30,MATCH(D567,Referensi!$I$5:$I$30,0)),"?"))</f>
        <v/>
      </c>
      <c r="G567" s="38" t="n"/>
      <c r="H567" s="38" t="n"/>
      <c r="I567" s="38" t="n"/>
      <c r="J567" s="38" t="n"/>
    </row>
    <row r="568" ht="15" customHeight="1" s="33">
      <c r="A568" s="57">
        <f>IF(B568="","",ROW()-4)</f>
        <v/>
      </c>
      <c r="B568" s="58" t="n"/>
      <c r="C568" s="38" t="n"/>
      <c r="D568" s="38" t="n"/>
      <c r="E568" s="41" t="n"/>
      <c r="F568" s="57">
        <f>IF(D568="","",IFERROR(INDEX(Referensi!$J$5:$J$30,MATCH(D568,Referensi!$I$5:$I$30,0)),"?"))</f>
        <v/>
      </c>
      <c r="G568" s="38" t="n"/>
      <c r="H568" s="38" t="n"/>
      <c r="I568" s="38" t="n"/>
      <c r="J568" s="38" t="n"/>
    </row>
    <row r="569" ht="15" customHeight="1" s="33">
      <c r="A569" s="57">
        <f>IF(B569="","",ROW()-4)</f>
        <v/>
      </c>
      <c r="B569" s="58" t="n"/>
      <c r="C569" s="38" t="n"/>
      <c r="D569" s="38" t="n"/>
      <c r="E569" s="41" t="n"/>
      <c r="F569" s="57">
        <f>IF(D569="","",IFERROR(INDEX(Referensi!$J$5:$J$30,MATCH(D569,Referensi!$I$5:$I$30,0)),"?"))</f>
        <v/>
      </c>
      <c r="G569" s="38" t="n"/>
      <c r="H569" s="38" t="n"/>
      <c r="I569" s="38" t="n"/>
      <c r="J569" s="38" t="n"/>
    </row>
    <row r="570" ht="15" customHeight="1" s="33">
      <c r="A570" s="57">
        <f>IF(B570="","",ROW()-4)</f>
        <v/>
      </c>
      <c r="B570" s="58" t="n"/>
      <c r="C570" s="38" t="n"/>
      <c r="D570" s="38" t="n"/>
      <c r="E570" s="41" t="n"/>
      <c r="F570" s="57">
        <f>IF(D570="","",IFERROR(INDEX(Referensi!$J$5:$J$30,MATCH(D570,Referensi!$I$5:$I$30,0)),"?"))</f>
        <v/>
      </c>
      <c r="G570" s="38" t="n"/>
      <c r="H570" s="38" t="n"/>
      <c r="I570" s="38" t="n"/>
      <c r="J570" s="38" t="n"/>
    </row>
    <row r="571" ht="15" customHeight="1" s="33">
      <c r="A571" s="57">
        <f>IF(B571="","",ROW()-4)</f>
        <v/>
      </c>
      <c r="B571" s="58" t="n"/>
      <c r="C571" s="38" t="n"/>
      <c r="D571" s="38" t="n"/>
      <c r="E571" s="41" t="n"/>
      <c r="F571" s="57">
        <f>IF(D571="","",IFERROR(INDEX(Referensi!$J$5:$J$30,MATCH(D571,Referensi!$I$5:$I$30,0)),"?"))</f>
        <v/>
      </c>
      <c r="G571" s="38" t="n"/>
      <c r="H571" s="38" t="n"/>
      <c r="I571" s="38" t="n"/>
      <c r="J571" s="38" t="n"/>
    </row>
    <row r="572" ht="15" customHeight="1" s="33">
      <c r="A572" s="57">
        <f>IF(B572="","",ROW()-4)</f>
        <v/>
      </c>
      <c r="B572" s="58" t="n"/>
      <c r="C572" s="38" t="n"/>
      <c r="D572" s="38" t="n"/>
      <c r="E572" s="41" t="n"/>
      <c r="F572" s="57">
        <f>IF(D572="","",IFERROR(INDEX(Referensi!$J$5:$J$30,MATCH(D572,Referensi!$I$5:$I$30,0)),"?"))</f>
        <v/>
      </c>
      <c r="G572" s="38" t="n"/>
      <c r="H572" s="38" t="n"/>
      <c r="I572" s="38" t="n"/>
      <c r="J572" s="38" t="n"/>
    </row>
    <row r="573" ht="15" customHeight="1" s="33">
      <c r="A573" s="57">
        <f>IF(B573="","",ROW()-4)</f>
        <v/>
      </c>
      <c r="B573" s="58" t="n"/>
      <c r="C573" s="38" t="n"/>
      <c r="D573" s="38" t="n"/>
      <c r="E573" s="41" t="n"/>
      <c r="F573" s="57">
        <f>IF(D573="","",IFERROR(INDEX(Referensi!$J$5:$J$30,MATCH(D573,Referensi!$I$5:$I$30,0)),"?"))</f>
        <v/>
      </c>
      <c r="G573" s="38" t="n"/>
      <c r="H573" s="38" t="n"/>
      <c r="I573" s="38" t="n"/>
      <c r="J573" s="38" t="n"/>
    </row>
    <row r="574" ht="15" customHeight="1" s="33">
      <c r="A574" s="57">
        <f>IF(B574="","",ROW()-4)</f>
        <v/>
      </c>
      <c r="B574" s="58" t="n"/>
      <c r="C574" s="38" t="n"/>
      <c r="D574" s="38" t="n"/>
      <c r="E574" s="41" t="n"/>
      <c r="F574" s="57">
        <f>IF(D574="","",IFERROR(INDEX(Referensi!$J$5:$J$30,MATCH(D574,Referensi!$I$5:$I$30,0)),"?"))</f>
        <v/>
      </c>
      <c r="G574" s="38" t="n"/>
      <c r="H574" s="38" t="n"/>
      <c r="I574" s="38" t="n"/>
      <c r="J574" s="38" t="n"/>
    </row>
    <row r="575" ht="15" customHeight="1" s="33">
      <c r="A575" s="57">
        <f>IF(B575="","",ROW()-4)</f>
        <v/>
      </c>
      <c r="B575" s="58" t="n"/>
      <c r="C575" s="38" t="n"/>
      <c r="D575" s="38" t="n"/>
      <c r="E575" s="41" t="n"/>
      <c r="F575" s="57">
        <f>IF(D575="","",IFERROR(INDEX(Referensi!$J$5:$J$30,MATCH(D575,Referensi!$I$5:$I$30,0)),"?"))</f>
        <v/>
      </c>
      <c r="G575" s="38" t="n"/>
      <c r="H575" s="38" t="n"/>
      <c r="I575" s="38" t="n"/>
      <c r="J575" s="38" t="n"/>
    </row>
    <row r="576" ht="15" customHeight="1" s="33">
      <c r="A576" s="57">
        <f>IF(B576="","",ROW()-4)</f>
        <v/>
      </c>
      <c r="B576" s="58" t="n"/>
      <c r="C576" s="38" t="n"/>
      <c r="D576" s="38" t="n"/>
      <c r="E576" s="41" t="n"/>
      <c r="F576" s="57">
        <f>IF(D576="","",IFERROR(INDEX(Referensi!$J$5:$J$30,MATCH(D576,Referensi!$I$5:$I$30,0)),"?"))</f>
        <v/>
      </c>
      <c r="G576" s="38" t="n"/>
      <c r="H576" s="38" t="n"/>
      <c r="I576" s="38" t="n"/>
      <c r="J576" s="38" t="n"/>
    </row>
    <row r="577" ht="15" customHeight="1" s="33">
      <c r="A577" s="57">
        <f>IF(B577="","",ROW()-4)</f>
        <v/>
      </c>
      <c r="B577" s="58" t="n"/>
      <c r="C577" s="38" t="n"/>
      <c r="D577" s="38" t="n"/>
      <c r="E577" s="41" t="n"/>
      <c r="F577" s="57">
        <f>IF(D577="","",IFERROR(INDEX(Referensi!$J$5:$J$30,MATCH(D577,Referensi!$I$5:$I$30,0)),"?"))</f>
        <v/>
      </c>
      <c r="G577" s="38" t="n"/>
      <c r="H577" s="38" t="n"/>
      <c r="I577" s="38" t="n"/>
      <c r="J577" s="38" t="n"/>
    </row>
    <row r="578" ht="15" customHeight="1" s="33">
      <c r="A578" s="57">
        <f>IF(B578="","",ROW()-4)</f>
        <v/>
      </c>
      <c r="B578" s="58" t="n"/>
      <c r="C578" s="38" t="n"/>
      <c r="D578" s="38" t="n"/>
      <c r="E578" s="41" t="n"/>
      <c r="F578" s="57">
        <f>IF(D578="","",IFERROR(INDEX(Referensi!$J$5:$J$30,MATCH(D578,Referensi!$I$5:$I$30,0)),"?"))</f>
        <v/>
      </c>
      <c r="G578" s="38" t="n"/>
      <c r="H578" s="38" t="n"/>
      <c r="I578" s="38" t="n"/>
      <c r="J578" s="38" t="n"/>
    </row>
    <row r="579" ht="15" customHeight="1" s="33">
      <c r="A579" s="57">
        <f>IF(B579="","",ROW()-4)</f>
        <v/>
      </c>
      <c r="B579" s="58" t="n"/>
      <c r="C579" s="38" t="n"/>
      <c r="D579" s="38" t="n"/>
      <c r="E579" s="41" t="n"/>
      <c r="F579" s="57">
        <f>IF(D579="","",IFERROR(INDEX(Referensi!$J$5:$J$30,MATCH(D579,Referensi!$I$5:$I$30,0)),"?"))</f>
        <v/>
      </c>
      <c r="G579" s="38" t="n"/>
      <c r="H579" s="38" t="n"/>
      <c r="I579" s="38" t="n"/>
      <c r="J579" s="38" t="n"/>
    </row>
    <row r="580" ht="15" customHeight="1" s="33">
      <c r="A580" s="57">
        <f>IF(B580="","",ROW()-4)</f>
        <v/>
      </c>
      <c r="B580" s="58" t="n"/>
      <c r="C580" s="38" t="n"/>
      <c r="D580" s="38" t="n"/>
      <c r="E580" s="41" t="n"/>
      <c r="F580" s="57">
        <f>IF(D580="","",IFERROR(INDEX(Referensi!$J$5:$J$30,MATCH(D580,Referensi!$I$5:$I$30,0)),"?"))</f>
        <v/>
      </c>
      <c r="G580" s="38" t="n"/>
      <c r="H580" s="38" t="n"/>
      <c r="I580" s="38" t="n"/>
      <c r="J580" s="38" t="n"/>
    </row>
    <row r="581" ht="15" customHeight="1" s="33">
      <c r="A581" s="57">
        <f>IF(B581="","",ROW()-4)</f>
        <v/>
      </c>
      <c r="B581" s="58" t="n"/>
      <c r="C581" s="38" t="n"/>
      <c r="D581" s="38" t="n"/>
      <c r="E581" s="41" t="n"/>
      <c r="F581" s="57">
        <f>IF(D581="","",IFERROR(INDEX(Referensi!$J$5:$J$30,MATCH(D581,Referensi!$I$5:$I$30,0)),"?"))</f>
        <v/>
      </c>
      <c r="G581" s="38" t="n"/>
      <c r="H581" s="38" t="n"/>
      <c r="I581" s="38" t="n"/>
      <c r="J581" s="38" t="n"/>
    </row>
    <row r="582" ht="15" customHeight="1" s="33">
      <c r="A582" s="57">
        <f>IF(B582="","",ROW()-4)</f>
        <v/>
      </c>
      <c r="B582" s="58" t="n"/>
      <c r="C582" s="38" t="n"/>
      <c r="D582" s="38" t="n"/>
      <c r="E582" s="41" t="n"/>
      <c r="F582" s="57">
        <f>IF(D582="","",IFERROR(INDEX(Referensi!$J$5:$J$30,MATCH(D582,Referensi!$I$5:$I$30,0)),"?"))</f>
        <v/>
      </c>
      <c r="G582" s="38" t="n"/>
      <c r="H582" s="38" t="n"/>
      <c r="I582" s="38" t="n"/>
      <c r="J582" s="38" t="n"/>
    </row>
    <row r="583" ht="15" customHeight="1" s="33">
      <c r="A583" s="57">
        <f>IF(B583="","",ROW()-4)</f>
        <v/>
      </c>
      <c r="B583" s="58" t="n"/>
      <c r="C583" s="38" t="n"/>
      <c r="D583" s="38" t="n"/>
      <c r="E583" s="41" t="n"/>
      <c r="F583" s="57">
        <f>IF(D583="","",IFERROR(INDEX(Referensi!$J$5:$J$30,MATCH(D583,Referensi!$I$5:$I$30,0)),"?"))</f>
        <v/>
      </c>
      <c r="G583" s="38" t="n"/>
      <c r="H583" s="38" t="n"/>
      <c r="I583" s="38" t="n"/>
      <c r="J583" s="38" t="n"/>
    </row>
    <row r="584" ht="15" customHeight="1" s="33">
      <c r="A584" s="57">
        <f>IF(B584="","",ROW()-4)</f>
        <v/>
      </c>
      <c r="B584" s="58" t="n"/>
      <c r="C584" s="38" t="n"/>
      <c r="D584" s="38" t="n"/>
      <c r="E584" s="41" t="n"/>
      <c r="F584" s="57">
        <f>IF(D584="","",IFERROR(INDEX(Referensi!$J$5:$J$30,MATCH(D584,Referensi!$I$5:$I$30,0)),"?"))</f>
        <v/>
      </c>
      <c r="G584" s="38" t="n"/>
      <c r="H584" s="38" t="n"/>
      <c r="I584" s="38" t="n"/>
      <c r="J584" s="38" t="n"/>
    </row>
    <row r="585" ht="15" customHeight="1" s="33">
      <c r="A585" s="57">
        <f>IF(B585="","",ROW()-4)</f>
        <v/>
      </c>
      <c r="B585" s="58" t="n"/>
      <c r="C585" s="38" t="n"/>
      <c r="D585" s="38" t="n"/>
      <c r="E585" s="41" t="n"/>
      <c r="F585" s="57">
        <f>IF(D585="","",IFERROR(INDEX(Referensi!$J$5:$J$30,MATCH(D585,Referensi!$I$5:$I$30,0)),"?"))</f>
        <v/>
      </c>
      <c r="G585" s="38" t="n"/>
      <c r="H585" s="38" t="n"/>
      <c r="I585" s="38" t="n"/>
      <c r="J585" s="38" t="n"/>
    </row>
    <row r="586" ht="15" customHeight="1" s="33">
      <c r="A586" s="57">
        <f>IF(B586="","",ROW()-4)</f>
        <v/>
      </c>
      <c r="B586" s="58" t="n"/>
      <c r="C586" s="38" t="n"/>
      <c r="D586" s="38" t="n"/>
      <c r="E586" s="41" t="n"/>
      <c r="F586" s="57">
        <f>IF(D586="","",IFERROR(INDEX(Referensi!$J$5:$J$30,MATCH(D586,Referensi!$I$5:$I$30,0)),"?"))</f>
        <v/>
      </c>
      <c r="G586" s="38" t="n"/>
      <c r="H586" s="38" t="n"/>
      <c r="I586" s="38" t="n"/>
      <c r="J586" s="38" t="n"/>
    </row>
    <row r="587" ht="15" customHeight="1" s="33">
      <c r="A587" s="57">
        <f>IF(B587="","",ROW()-4)</f>
        <v/>
      </c>
      <c r="B587" s="58" t="n"/>
      <c r="C587" s="38" t="n"/>
      <c r="D587" s="38" t="n"/>
      <c r="E587" s="41" t="n"/>
      <c r="F587" s="57">
        <f>IF(D587="","",IFERROR(INDEX(Referensi!$J$5:$J$30,MATCH(D587,Referensi!$I$5:$I$30,0)),"?"))</f>
        <v/>
      </c>
      <c r="G587" s="38" t="n"/>
      <c r="H587" s="38" t="n"/>
      <c r="I587" s="38" t="n"/>
      <c r="J587" s="38" t="n"/>
    </row>
    <row r="588" ht="15" customHeight="1" s="33">
      <c r="A588" s="57">
        <f>IF(B588="","",ROW()-4)</f>
        <v/>
      </c>
      <c r="B588" s="58" t="n"/>
      <c r="C588" s="38" t="n"/>
      <c r="D588" s="38" t="n"/>
      <c r="E588" s="41" t="n"/>
      <c r="F588" s="57">
        <f>IF(D588="","",IFERROR(INDEX(Referensi!$J$5:$J$30,MATCH(D588,Referensi!$I$5:$I$30,0)),"?"))</f>
        <v/>
      </c>
      <c r="G588" s="38" t="n"/>
      <c r="H588" s="38" t="n"/>
      <c r="I588" s="38" t="n"/>
      <c r="J588" s="38" t="n"/>
    </row>
    <row r="589" ht="15" customHeight="1" s="33">
      <c r="A589" s="57">
        <f>IF(B589="","",ROW()-4)</f>
        <v/>
      </c>
      <c r="B589" s="58" t="n"/>
      <c r="C589" s="38" t="n"/>
      <c r="D589" s="38" t="n"/>
      <c r="E589" s="41" t="n"/>
      <c r="F589" s="57">
        <f>IF(D589="","",IFERROR(INDEX(Referensi!$J$5:$J$30,MATCH(D589,Referensi!$I$5:$I$30,0)),"?"))</f>
        <v/>
      </c>
      <c r="G589" s="38" t="n"/>
      <c r="H589" s="38" t="n"/>
      <c r="I589" s="38" t="n"/>
      <c r="J589" s="38" t="n"/>
    </row>
    <row r="590" ht="15" customHeight="1" s="33">
      <c r="A590" s="57">
        <f>IF(B590="","",ROW()-4)</f>
        <v/>
      </c>
      <c r="B590" s="58" t="n"/>
      <c r="C590" s="38" t="n"/>
      <c r="D590" s="38" t="n"/>
      <c r="E590" s="41" t="n"/>
      <c r="F590" s="57">
        <f>IF(D590="","",IFERROR(INDEX(Referensi!$J$5:$J$30,MATCH(D590,Referensi!$I$5:$I$30,0)),"?"))</f>
        <v/>
      </c>
      <c r="G590" s="38" t="n"/>
      <c r="H590" s="38" t="n"/>
      <c r="I590" s="38" t="n"/>
      <c r="J590" s="38" t="n"/>
    </row>
    <row r="591" ht="15" customHeight="1" s="33">
      <c r="A591" s="57">
        <f>IF(B591="","",ROW()-4)</f>
        <v/>
      </c>
      <c r="B591" s="58" t="n"/>
      <c r="C591" s="38" t="n"/>
      <c r="D591" s="38" t="n"/>
      <c r="E591" s="41" t="n"/>
      <c r="F591" s="57">
        <f>IF(D591="","",IFERROR(INDEX(Referensi!$J$5:$J$30,MATCH(D591,Referensi!$I$5:$I$30,0)),"?"))</f>
        <v/>
      </c>
      <c r="G591" s="38" t="n"/>
      <c r="H591" s="38" t="n"/>
      <c r="I591" s="38" t="n"/>
      <c r="J591" s="38" t="n"/>
    </row>
    <row r="592" ht="15" customHeight="1" s="33">
      <c r="A592" s="57">
        <f>IF(B592="","",ROW()-4)</f>
        <v/>
      </c>
      <c r="B592" s="58" t="n"/>
      <c r="C592" s="38" t="n"/>
      <c r="D592" s="38" t="n"/>
      <c r="E592" s="41" t="n"/>
      <c r="F592" s="57">
        <f>IF(D592="","",IFERROR(INDEX(Referensi!$J$5:$J$30,MATCH(D592,Referensi!$I$5:$I$30,0)),"?"))</f>
        <v/>
      </c>
      <c r="G592" s="38" t="n"/>
      <c r="H592" s="38" t="n"/>
      <c r="I592" s="38" t="n"/>
      <c r="J592" s="38" t="n"/>
    </row>
    <row r="593" ht="15" customHeight="1" s="33">
      <c r="A593" s="57">
        <f>IF(B593="","",ROW()-4)</f>
        <v/>
      </c>
      <c r="B593" s="58" t="n"/>
      <c r="C593" s="38" t="n"/>
      <c r="D593" s="38" t="n"/>
      <c r="E593" s="41" t="n"/>
      <c r="F593" s="57">
        <f>IF(D593="","",IFERROR(INDEX(Referensi!$J$5:$J$30,MATCH(D593,Referensi!$I$5:$I$30,0)),"?"))</f>
        <v/>
      </c>
      <c r="G593" s="38" t="n"/>
      <c r="H593" s="38" t="n"/>
      <c r="I593" s="38" t="n"/>
      <c r="J593" s="38" t="n"/>
    </row>
    <row r="594" ht="15" customHeight="1" s="33">
      <c r="A594" s="57">
        <f>IF(B594="","",ROW()-4)</f>
        <v/>
      </c>
      <c r="B594" s="58" t="n"/>
      <c r="C594" s="38" t="n"/>
      <c r="D594" s="38" t="n"/>
      <c r="E594" s="41" t="n"/>
      <c r="F594" s="57">
        <f>IF(D594="","",IFERROR(INDEX(Referensi!$J$5:$J$30,MATCH(D594,Referensi!$I$5:$I$30,0)),"?"))</f>
        <v/>
      </c>
      <c r="G594" s="38" t="n"/>
      <c r="H594" s="38" t="n"/>
      <c r="I594" s="38" t="n"/>
      <c r="J594" s="38" t="n"/>
    </row>
    <row r="595" ht="15" customHeight="1" s="33">
      <c r="A595" s="57">
        <f>IF(B595="","",ROW()-4)</f>
        <v/>
      </c>
      <c r="B595" s="58" t="n"/>
      <c r="C595" s="38" t="n"/>
      <c r="D595" s="38" t="n"/>
      <c r="E595" s="41" t="n"/>
      <c r="F595" s="57">
        <f>IF(D595="","",IFERROR(INDEX(Referensi!$J$5:$J$30,MATCH(D595,Referensi!$I$5:$I$30,0)),"?"))</f>
        <v/>
      </c>
      <c r="G595" s="38" t="n"/>
      <c r="H595" s="38" t="n"/>
      <c r="I595" s="38" t="n"/>
      <c r="J595" s="38" t="n"/>
    </row>
    <row r="596" ht="15" customHeight="1" s="33">
      <c r="A596" s="57">
        <f>IF(B596="","",ROW()-4)</f>
        <v/>
      </c>
      <c r="B596" s="58" t="n"/>
      <c r="C596" s="38" t="n"/>
      <c r="D596" s="38" t="n"/>
      <c r="E596" s="41" t="n"/>
      <c r="F596" s="57">
        <f>IF(D596="","",IFERROR(INDEX(Referensi!$J$5:$J$30,MATCH(D596,Referensi!$I$5:$I$30,0)),"?"))</f>
        <v/>
      </c>
      <c r="G596" s="38" t="n"/>
      <c r="H596" s="38" t="n"/>
      <c r="I596" s="38" t="n"/>
      <c r="J596" s="38" t="n"/>
    </row>
    <row r="597" ht="15" customHeight="1" s="33">
      <c r="A597" s="57">
        <f>IF(B597="","",ROW()-4)</f>
        <v/>
      </c>
      <c r="B597" s="58" t="n"/>
      <c r="C597" s="38" t="n"/>
      <c r="D597" s="38" t="n"/>
      <c r="E597" s="41" t="n"/>
      <c r="F597" s="57">
        <f>IF(D597="","",IFERROR(INDEX(Referensi!$J$5:$J$30,MATCH(D597,Referensi!$I$5:$I$30,0)),"?"))</f>
        <v/>
      </c>
      <c r="G597" s="38" t="n"/>
      <c r="H597" s="38" t="n"/>
      <c r="I597" s="38" t="n"/>
      <c r="J597" s="38" t="n"/>
    </row>
    <row r="598" ht="15" customHeight="1" s="33">
      <c r="A598" s="57">
        <f>IF(B598="","",ROW()-4)</f>
        <v/>
      </c>
      <c r="B598" s="58" t="n"/>
      <c r="C598" s="38" t="n"/>
      <c r="D598" s="38" t="n"/>
      <c r="E598" s="41" t="n"/>
      <c r="F598" s="57">
        <f>IF(D598="","",IFERROR(INDEX(Referensi!$J$5:$J$30,MATCH(D598,Referensi!$I$5:$I$30,0)),"?"))</f>
        <v/>
      </c>
      <c r="G598" s="38" t="n"/>
      <c r="H598" s="38" t="n"/>
      <c r="I598" s="38" t="n"/>
      <c r="J598" s="38" t="n"/>
    </row>
    <row r="599" ht="15" customHeight="1" s="33">
      <c r="A599" s="57">
        <f>IF(B599="","",ROW()-4)</f>
        <v/>
      </c>
      <c r="B599" s="58" t="n"/>
      <c r="C599" s="38" t="n"/>
      <c r="D599" s="38" t="n"/>
      <c r="E599" s="41" t="n"/>
      <c r="F599" s="57">
        <f>IF(D599="","",IFERROR(INDEX(Referensi!$J$5:$J$30,MATCH(D599,Referensi!$I$5:$I$30,0)),"?"))</f>
        <v/>
      </c>
      <c r="G599" s="38" t="n"/>
      <c r="H599" s="38" t="n"/>
      <c r="I599" s="38" t="n"/>
      <c r="J599" s="38" t="n"/>
    </row>
    <row r="600" ht="15" customHeight="1" s="33">
      <c r="A600" s="57">
        <f>IF(B600="","",ROW()-4)</f>
        <v/>
      </c>
      <c r="B600" s="58" t="n"/>
      <c r="C600" s="38" t="n"/>
      <c r="D600" s="38" t="n"/>
      <c r="E600" s="41" t="n"/>
      <c r="F600" s="57">
        <f>IF(D600="","",IFERROR(INDEX(Referensi!$J$5:$J$30,MATCH(D600,Referensi!$I$5:$I$30,0)),"?"))</f>
        <v/>
      </c>
      <c r="G600" s="38" t="n"/>
      <c r="H600" s="38" t="n"/>
      <c r="I600" s="38" t="n"/>
      <c r="J600" s="38" t="n"/>
    </row>
    <row r="601" ht="15" customHeight="1" s="33">
      <c r="A601" s="57">
        <f>IF(B601="","",ROW()-4)</f>
        <v/>
      </c>
      <c r="B601" s="58" t="n"/>
      <c r="C601" s="38" t="n"/>
      <c r="D601" s="38" t="n"/>
      <c r="E601" s="41" t="n"/>
      <c r="F601" s="57">
        <f>IF(D601="","",IFERROR(INDEX(Referensi!$J$5:$J$30,MATCH(D601,Referensi!$I$5:$I$30,0)),"?"))</f>
        <v/>
      </c>
      <c r="G601" s="38" t="n"/>
      <c r="H601" s="38" t="n"/>
      <c r="I601" s="38" t="n"/>
      <c r="J601" s="38" t="n"/>
    </row>
    <row r="602" ht="15" customHeight="1" s="33">
      <c r="A602" s="57">
        <f>IF(B602="","",ROW()-4)</f>
        <v/>
      </c>
      <c r="B602" s="58" t="n"/>
      <c r="C602" s="38" t="n"/>
      <c r="D602" s="38" t="n"/>
      <c r="E602" s="41" t="n"/>
      <c r="F602" s="57">
        <f>IF(D602="","",IFERROR(INDEX(Referensi!$J$5:$J$30,MATCH(D602,Referensi!$I$5:$I$30,0)),"?"))</f>
        <v/>
      </c>
      <c r="G602" s="38" t="n"/>
      <c r="H602" s="38" t="n"/>
      <c r="I602" s="38" t="n"/>
      <c r="J602" s="38" t="n"/>
    </row>
    <row r="603" ht="15" customHeight="1" s="33">
      <c r="A603" s="57">
        <f>IF(B603="","",ROW()-4)</f>
        <v/>
      </c>
      <c r="B603" s="58" t="n"/>
      <c r="C603" s="38" t="n"/>
      <c r="D603" s="38" t="n"/>
      <c r="E603" s="41" t="n"/>
      <c r="F603" s="57">
        <f>IF(D603="","",IFERROR(INDEX(Referensi!$J$5:$J$30,MATCH(D603,Referensi!$I$5:$I$30,0)),"?"))</f>
        <v/>
      </c>
      <c r="G603" s="38" t="n"/>
      <c r="H603" s="38" t="n"/>
      <c r="I603" s="38" t="n"/>
      <c r="J603" s="38" t="n"/>
    </row>
    <row r="604" ht="15" customHeight="1" s="33">
      <c r="A604" s="57">
        <f>IF(B604="","",ROW()-4)</f>
        <v/>
      </c>
      <c r="B604" s="58" t="n"/>
      <c r="C604" s="38" t="n"/>
      <c r="D604" s="38" t="n"/>
      <c r="E604" s="41" t="n"/>
      <c r="F604" s="57">
        <f>IF(D604="","",IFERROR(INDEX(Referensi!$J$5:$J$30,MATCH(D604,Referensi!$I$5:$I$30,0)),"?"))</f>
        <v/>
      </c>
      <c r="G604" s="38" t="n"/>
      <c r="H604" s="38" t="n"/>
      <c r="I604" s="38" t="n"/>
      <c r="J604" s="38" t="n"/>
    </row>
    <row r="605" ht="15" customHeight="1" s="33">
      <c r="A605" s="57">
        <f>IF(B605="","",ROW()-4)</f>
        <v/>
      </c>
      <c r="B605" s="58" t="n"/>
      <c r="C605" s="38" t="n"/>
      <c r="D605" s="38" t="n"/>
      <c r="E605" s="41" t="n"/>
      <c r="F605" s="57">
        <f>IF(D605="","",IFERROR(INDEX(Referensi!$J$5:$J$30,MATCH(D605,Referensi!$I$5:$I$30,0)),"?"))</f>
        <v/>
      </c>
      <c r="G605" s="38" t="n"/>
      <c r="H605" s="38" t="n"/>
      <c r="I605" s="38" t="n"/>
      <c r="J605" s="38" t="n"/>
    </row>
    <row r="606" ht="15" customHeight="1" s="33">
      <c r="A606" s="57">
        <f>IF(B606="","",ROW()-4)</f>
        <v/>
      </c>
      <c r="B606" s="58" t="n"/>
      <c r="C606" s="38" t="n"/>
      <c r="D606" s="38" t="n"/>
      <c r="E606" s="41" t="n"/>
      <c r="F606" s="57">
        <f>IF(D606="","",IFERROR(INDEX(Referensi!$J$5:$J$30,MATCH(D606,Referensi!$I$5:$I$30,0)),"?"))</f>
        <v/>
      </c>
      <c r="G606" s="38" t="n"/>
      <c r="H606" s="38" t="n"/>
      <c r="I606" s="38" t="n"/>
      <c r="J606" s="38" t="n"/>
    </row>
    <row r="607" ht="15" customHeight="1" s="33">
      <c r="A607" s="57">
        <f>IF(B607="","",ROW()-4)</f>
        <v/>
      </c>
      <c r="B607" s="58" t="n"/>
      <c r="C607" s="38" t="n"/>
      <c r="D607" s="38" t="n"/>
      <c r="E607" s="41" t="n"/>
      <c r="F607" s="57">
        <f>IF(D607="","",IFERROR(INDEX(Referensi!$J$5:$J$30,MATCH(D607,Referensi!$I$5:$I$30,0)),"?"))</f>
        <v/>
      </c>
      <c r="G607" s="38" t="n"/>
      <c r="H607" s="38" t="n"/>
      <c r="I607" s="38" t="n"/>
      <c r="J607" s="38" t="n"/>
    </row>
    <row r="608" ht="15" customHeight="1" s="33">
      <c r="A608" s="57">
        <f>IF(B608="","",ROW()-4)</f>
        <v/>
      </c>
      <c r="B608" s="58" t="n"/>
      <c r="C608" s="38" t="n"/>
      <c r="D608" s="38" t="n"/>
      <c r="E608" s="41" t="n"/>
      <c r="F608" s="57">
        <f>IF(D608="","",IFERROR(INDEX(Referensi!$J$5:$J$30,MATCH(D608,Referensi!$I$5:$I$30,0)),"?"))</f>
        <v/>
      </c>
      <c r="G608" s="38" t="n"/>
      <c r="H608" s="38" t="n"/>
      <c r="I608" s="38" t="n"/>
      <c r="J608" s="38" t="n"/>
    </row>
    <row r="609" ht="15" customHeight="1" s="33">
      <c r="A609" s="57">
        <f>IF(B609="","",ROW()-4)</f>
        <v/>
      </c>
      <c r="B609" s="58" t="n"/>
      <c r="C609" s="38" t="n"/>
      <c r="D609" s="38" t="n"/>
      <c r="E609" s="41" t="n"/>
      <c r="F609" s="57">
        <f>IF(D609="","",IFERROR(INDEX(Referensi!$J$5:$J$30,MATCH(D609,Referensi!$I$5:$I$30,0)),"?"))</f>
        <v/>
      </c>
      <c r="G609" s="38" t="n"/>
      <c r="H609" s="38" t="n"/>
      <c r="I609" s="38" t="n"/>
      <c r="J609" s="38" t="n"/>
    </row>
    <row r="610" ht="15" customHeight="1" s="33">
      <c r="A610" s="57">
        <f>IF(B610="","",ROW()-4)</f>
        <v/>
      </c>
      <c r="B610" s="58" t="n"/>
      <c r="C610" s="38" t="n"/>
      <c r="D610" s="38" t="n"/>
      <c r="E610" s="41" t="n"/>
      <c r="F610" s="57">
        <f>IF(D610="","",IFERROR(INDEX(Referensi!$J$5:$J$30,MATCH(D610,Referensi!$I$5:$I$30,0)),"?"))</f>
        <v/>
      </c>
      <c r="G610" s="38" t="n"/>
      <c r="H610" s="38" t="n"/>
      <c r="I610" s="38" t="n"/>
      <c r="J610" s="38" t="n"/>
    </row>
    <row r="611" ht="15" customHeight="1" s="33">
      <c r="A611" s="57">
        <f>IF(B611="","",ROW()-4)</f>
        <v/>
      </c>
      <c r="B611" s="58" t="n"/>
      <c r="C611" s="38" t="n"/>
      <c r="D611" s="38" t="n"/>
      <c r="E611" s="41" t="n"/>
      <c r="F611" s="57">
        <f>IF(D611="","",IFERROR(INDEX(Referensi!$J$5:$J$30,MATCH(D611,Referensi!$I$5:$I$30,0)),"?"))</f>
        <v/>
      </c>
      <c r="G611" s="38" t="n"/>
      <c r="H611" s="38" t="n"/>
      <c r="I611" s="38" t="n"/>
      <c r="J611" s="38" t="n"/>
    </row>
    <row r="612" ht="15" customHeight="1" s="33">
      <c r="A612" s="57">
        <f>IF(B612="","",ROW()-4)</f>
        <v/>
      </c>
      <c r="B612" s="58" t="n"/>
      <c r="C612" s="38" t="n"/>
      <c r="D612" s="38" t="n"/>
      <c r="E612" s="41" t="n"/>
      <c r="F612" s="57">
        <f>IF(D612="","",IFERROR(INDEX(Referensi!$J$5:$J$30,MATCH(D612,Referensi!$I$5:$I$30,0)),"?"))</f>
        <v/>
      </c>
      <c r="G612" s="38" t="n"/>
      <c r="H612" s="38" t="n"/>
      <c r="I612" s="38" t="n"/>
      <c r="J612" s="38" t="n"/>
    </row>
    <row r="613" ht="15" customHeight="1" s="33">
      <c r="A613" s="57">
        <f>IF(B613="","",ROW()-4)</f>
        <v/>
      </c>
      <c r="B613" s="58" t="n"/>
      <c r="C613" s="38" t="n"/>
      <c r="D613" s="38" t="n"/>
      <c r="E613" s="41" t="n"/>
      <c r="F613" s="57">
        <f>IF(D613="","",IFERROR(INDEX(Referensi!$J$5:$J$30,MATCH(D613,Referensi!$I$5:$I$30,0)),"?"))</f>
        <v/>
      </c>
      <c r="G613" s="38" t="n"/>
      <c r="H613" s="38" t="n"/>
      <c r="I613" s="38" t="n"/>
      <c r="J613" s="38" t="n"/>
    </row>
    <row r="614" ht="15" customHeight="1" s="33">
      <c r="A614" s="57">
        <f>IF(B614="","",ROW()-4)</f>
        <v/>
      </c>
      <c r="B614" s="58" t="n"/>
      <c r="C614" s="38" t="n"/>
      <c r="D614" s="38" t="n"/>
      <c r="E614" s="41" t="n"/>
      <c r="F614" s="57">
        <f>IF(D614="","",IFERROR(INDEX(Referensi!$J$5:$J$30,MATCH(D614,Referensi!$I$5:$I$30,0)),"?"))</f>
        <v/>
      </c>
      <c r="G614" s="38" t="n"/>
      <c r="H614" s="38" t="n"/>
      <c r="I614" s="38" t="n"/>
      <c r="J614" s="38" t="n"/>
    </row>
    <row r="615" ht="15" customHeight="1" s="33">
      <c r="A615" s="57">
        <f>IF(B615="","",ROW()-4)</f>
        <v/>
      </c>
      <c r="B615" s="58" t="n"/>
      <c r="C615" s="38" t="n"/>
      <c r="D615" s="38" t="n"/>
      <c r="E615" s="41" t="n"/>
      <c r="F615" s="57">
        <f>IF(D615="","",IFERROR(INDEX(Referensi!$J$5:$J$30,MATCH(D615,Referensi!$I$5:$I$30,0)),"?"))</f>
        <v/>
      </c>
      <c r="G615" s="38" t="n"/>
      <c r="H615" s="38" t="n"/>
      <c r="I615" s="38" t="n"/>
      <c r="J615" s="38" t="n"/>
    </row>
    <row r="616" ht="15" customHeight="1" s="33">
      <c r="A616" s="57">
        <f>IF(B616="","",ROW()-4)</f>
        <v/>
      </c>
      <c r="B616" s="58" t="n"/>
      <c r="C616" s="38" t="n"/>
      <c r="D616" s="38" t="n"/>
      <c r="E616" s="41" t="n"/>
      <c r="F616" s="57">
        <f>IF(D616="","",IFERROR(INDEX(Referensi!$J$5:$J$30,MATCH(D616,Referensi!$I$5:$I$30,0)),"?"))</f>
        <v/>
      </c>
      <c r="G616" s="38" t="n"/>
      <c r="H616" s="38" t="n"/>
      <c r="I616" s="38" t="n"/>
      <c r="J616" s="38" t="n"/>
    </row>
    <row r="617" ht="15" customHeight="1" s="33">
      <c r="A617" s="57">
        <f>IF(B617="","",ROW()-4)</f>
        <v/>
      </c>
      <c r="B617" s="58" t="n"/>
      <c r="C617" s="38" t="n"/>
      <c r="D617" s="38" t="n"/>
      <c r="E617" s="41" t="n"/>
      <c r="F617" s="57">
        <f>IF(D617="","",IFERROR(INDEX(Referensi!$J$5:$J$30,MATCH(D617,Referensi!$I$5:$I$30,0)),"?"))</f>
        <v/>
      </c>
      <c r="G617" s="38" t="n"/>
      <c r="H617" s="38" t="n"/>
      <c r="I617" s="38" t="n"/>
      <c r="J617" s="38" t="n"/>
    </row>
    <row r="618" ht="15" customHeight="1" s="33">
      <c r="A618" s="57">
        <f>IF(B618="","",ROW()-4)</f>
        <v/>
      </c>
      <c r="B618" s="58" t="n"/>
      <c r="C618" s="38" t="n"/>
      <c r="D618" s="38" t="n"/>
      <c r="E618" s="41" t="n"/>
      <c r="F618" s="57">
        <f>IF(D618="","",IFERROR(INDEX(Referensi!$J$5:$J$30,MATCH(D618,Referensi!$I$5:$I$30,0)),"?"))</f>
        <v/>
      </c>
      <c r="G618" s="38" t="n"/>
      <c r="H618" s="38" t="n"/>
      <c r="I618" s="38" t="n"/>
      <c r="J618" s="38" t="n"/>
    </row>
    <row r="619" ht="15" customHeight="1" s="33">
      <c r="A619" s="57">
        <f>IF(B619="","",ROW()-4)</f>
        <v/>
      </c>
      <c r="B619" s="58" t="n"/>
      <c r="C619" s="38" t="n"/>
      <c r="D619" s="38" t="n"/>
      <c r="E619" s="41" t="n"/>
      <c r="F619" s="57">
        <f>IF(D619="","",IFERROR(INDEX(Referensi!$J$5:$J$30,MATCH(D619,Referensi!$I$5:$I$30,0)),"?"))</f>
        <v/>
      </c>
      <c r="G619" s="38" t="n"/>
      <c r="H619" s="38" t="n"/>
      <c r="I619" s="38" t="n"/>
      <c r="J619" s="38" t="n"/>
    </row>
    <row r="620" ht="15" customHeight="1" s="33">
      <c r="A620" s="57">
        <f>IF(B620="","",ROW()-4)</f>
        <v/>
      </c>
      <c r="B620" s="58" t="n"/>
      <c r="C620" s="38" t="n"/>
      <c r="D620" s="38" t="n"/>
      <c r="E620" s="41" t="n"/>
      <c r="F620" s="57">
        <f>IF(D620="","",IFERROR(INDEX(Referensi!$J$5:$J$30,MATCH(D620,Referensi!$I$5:$I$30,0)),"?"))</f>
        <v/>
      </c>
      <c r="G620" s="38" t="n"/>
      <c r="H620" s="38" t="n"/>
      <c r="I620" s="38" t="n"/>
      <c r="J620" s="38" t="n"/>
    </row>
    <row r="621" ht="15" customHeight="1" s="33">
      <c r="A621" s="57">
        <f>IF(B621="","",ROW()-4)</f>
        <v/>
      </c>
      <c r="B621" s="58" t="n"/>
      <c r="C621" s="38" t="n"/>
      <c r="D621" s="38" t="n"/>
      <c r="E621" s="41" t="n"/>
      <c r="F621" s="57">
        <f>IF(D621="","",IFERROR(INDEX(Referensi!$J$5:$J$30,MATCH(D621,Referensi!$I$5:$I$30,0)),"?"))</f>
        <v/>
      </c>
      <c r="G621" s="38" t="n"/>
      <c r="H621" s="38" t="n"/>
      <c r="I621" s="38" t="n"/>
      <c r="J621" s="38" t="n"/>
    </row>
    <row r="622" ht="15" customHeight="1" s="33">
      <c r="A622" s="57">
        <f>IF(B622="","",ROW()-4)</f>
        <v/>
      </c>
      <c r="B622" s="58" t="n"/>
      <c r="C622" s="38" t="n"/>
      <c r="D622" s="38" t="n"/>
      <c r="E622" s="41" t="n"/>
      <c r="F622" s="57">
        <f>IF(D622="","",IFERROR(INDEX(Referensi!$J$5:$J$30,MATCH(D622,Referensi!$I$5:$I$30,0)),"?"))</f>
        <v/>
      </c>
      <c r="G622" s="38" t="n"/>
      <c r="H622" s="38" t="n"/>
      <c r="I622" s="38" t="n"/>
      <c r="J622" s="38" t="n"/>
    </row>
    <row r="623" ht="15" customHeight="1" s="33">
      <c r="A623" s="57">
        <f>IF(B623="","",ROW()-4)</f>
        <v/>
      </c>
      <c r="B623" s="58" t="n"/>
      <c r="C623" s="38" t="n"/>
      <c r="D623" s="38" t="n"/>
      <c r="E623" s="41" t="n"/>
      <c r="F623" s="57">
        <f>IF(D623="","",IFERROR(INDEX(Referensi!$J$5:$J$30,MATCH(D623,Referensi!$I$5:$I$30,0)),"?"))</f>
        <v/>
      </c>
      <c r="G623" s="38" t="n"/>
      <c r="H623" s="38" t="n"/>
      <c r="I623" s="38" t="n"/>
      <c r="J623" s="38" t="n"/>
    </row>
    <row r="624" ht="15" customHeight="1" s="33">
      <c r="A624" s="57">
        <f>IF(B624="","",ROW()-4)</f>
        <v/>
      </c>
      <c r="B624" s="58" t="n"/>
      <c r="C624" s="38" t="n"/>
      <c r="D624" s="38" t="n"/>
      <c r="E624" s="41" t="n"/>
      <c r="F624" s="57">
        <f>IF(D624="","",IFERROR(INDEX(Referensi!$J$5:$J$30,MATCH(D624,Referensi!$I$5:$I$30,0)),"?"))</f>
        <v/>
      </c>
      <c r="G624" s="38" t="n"/>
      <c r="H624" s="38" t="n"/>
      <c r="I624" s="38" t="n"/>
      <c r="J624" s="38" t="n"/>
    </row>
    <row r="625" ht="15" customHeight="1" s="33">
      <c r="A625" s="57">
        <f>IF(B625="","",ROW()-4)</f>
        <v/>
      </c>
      <c r="B625" s="58" t="n"/>
      <c r="C625" s="38" t="n"/>
      <c r="D625" s="38" t="n"/>
      <c r="E625" s="41" t="n"/>
      <c r="F625" s="57">
        <f>IF(D625="","",IFERROR(INDEX(Referensi!$J$5:$J$30,MATCH(D625,Referensi!$I$5:$I$30,0)),"?"))</f>
        <v/>
      </c>
      <c r="G625" s="38" t="n"/>
      <c r="H625" s="38" t="n"/>
      <c r="I625" s="38" t="n"/>
      <c r="J625" s="38" t="n"/>
    </row>
    <row r="626" ht="15" customHeight="1" s="33">
      <c r="A626" s="57">
        <f>IF(B626="","",ROW()-4)</f>
        <v/>
      </c>
      <c r="B626" s="58" t="n"/>
      <c r="C626" s="38" t="n"/>
      <c r="D626" s="38" t="n"/>
      <c r="E626" s="41" t="n"/>
      <c r="F626" s="57">
        <f>IF(D626="","",IFERROR(INDEX(Referensi!$J$5:$J$30,MATCH(D626,Referensi!$I$5:$I$30,0)),"?"))</f>
        <v/>
      </c>
      <c r="G626" s="38" t="n"/>
      <c r="H626" s="38" t="n"/>
      <c r="I626" s="38" t="n"/>
      <c r="J626" s="38" t="n"/>
    </row>
    <row r="627" ht="15" customHeight="1" s="33">
      <c r="A627" s="57">
        <f>IF(B627="","",ROW()-4)</f>
        <v/>
      </c>
      <c r="B627" s="58" t="n"/>
      <c r="C627" s="38" t="n"/>
      <c r="D627" s="38" t="n"/>
      <c r="E627" s="41" t="n"/>
      <c r="F627" s="57">
        <f>IF(D627="","",IFERROR(INDEX(Referensi!$J$5:$J$30,MATCH(D627,Referensi!$I$5:$I$30,0)),"?"))</f>
        <v/>
      </c>
      <c r="G627" s="38" t="n"/>
      <c r="H627" s="38" t="n"/>
      <c r="I627" s="38" t="n"/>
      <c r="J627" s="38" t="n"/>
    </row>
    <row r="628" ht="15" customHeight="1" s="33">
      <c r="A628" s="57">
        <f>IF(B628="","",ROW()-4)</f>
        <v/>
      </c>
      <c r="B628" s="58" t="n"/>
      <c r="C628" s="38" t="n"/>
      <c r="D628" s="38" t="n"/>
      <c r="E628" s="41" t="n"/>
      <c r="F628" s="57">
        <f>IF(D628="","",IFERROR(INDEX(Referensi!$J$5:$J$30,MATCH(D628,Referensi!$I$5:$I$30,0)),"?"))</f>
        <v/>
      </c>
      <c r="G628" s="38" t="n"/>
      <c r="H628" s="38" t="n"/>
      <c r="I628" s="38" t="n"/>
      <c r="J628" s="38" t="n"/>
    </row>
    <row r="629" ht="15" customHeight="1" s="33">
      <c r="A629" s="57">
        <f>IF(B629="","",ROW()-4)</f>
        <v/>
      </c>
      <c r="B629" s="58" t="n"/>
      <c r="C629" s="38" t="n"/>
      <c r="D629" s="38" t="n"/>
      <c r="E629" s="41" t="n"/>
      <c r="F629" s="57">
        <f>IF(D629="","",IFERROR(INDEX(Referensi!$J$5:$J$30,MATCH(D629,Referensi!$I$5:$I$30,0)),"?"))</f>
        <v/>
      </c>
      <c r="G629" s="38" t="n"/>
      <c r="H629" s="38" t="n"/>
      <c r="I629" s="38" t="n"/>
      <c r="J629" s="38" t="n"/>
    </row>
    <row r="630" ht="15" customHeight="1" s="33">
      <c r="A630" s="57">
        <f>IF(B630="","",ROW()-4)</f>
        <v/>
      </c>
      <c r="B630" s="58" t="n"/>
      <c r="C630" s="38" t="n"/>
      <c r="D630" s="38" t="n"/>
      <c r="E630" s="41" t="n"/>
      <c r="F630" s="57">
        <f>IF(D630="","",IFERROR(INDEX(Referensi!$J$5:$J$30,MATCH(D630,Referensi!$I$5:$I$30,0)),"?"))</f>
        <v/>
      </c>
      <c r="G630" s="38" t="n"/>
      <c r="H630" s="38" t="n"/>
      <c r="I630" s="38" t="n"/>
      <c r="J630" s="38" t="n"/>
    </row>
    <row r="631" ht="15" customHeight="1" s="33">
      <c r="A631" s="57">
        <f>IF(B631="","",ROW()-4)</f>
        <v/>
      </c>
      <c r="B631" s="58" t="n"/>
      <c r="C631" s="38" t="n"/>
      <c r="D631" s="38" t="n"/>
      <c r="E631" s="41" t="n"/>
      <c r="F631" s="57">
        <f>IF(D631="","",IFERROR(INDEX(Referensi!$J$5:$J$30,MATCH(D631,Referensi!$I$5:$I$30,0)),"?"))</f>
        <v/>
      </c>
      <c r="G631" s="38" t="n"/>
      <c r="H631" s="38" t="n"/>
      <c r="I631" s="38" t="n"/>
      <c r="J631" s="38" t="n"/>
    </row>
    <row r="632" ht="15" customHeight="1" s="33">
      <c r="A632" s="57">
        <f>IF(B632="","",ROW()-4)</f>
        <v/>
      </c>
      <c r="B632" s="58" t="n"/>
      <c r="C632" s="38" t="n"/>
      <c r="D632" s="38" t="n"/>
      <c r="E632" s="41" t="n"/>
      <c r="F632" s="57">
        <f>IF(D632="","",IFERROR(INDEX(Referensi!$J$5:$J$30,MATCH(D632,Referensi!$I$5:$I$30,0)),"?"))</f>
        <v/>
      </c>
      <c r="G632" s="38" t="n"/>
      <c r="H632" s="38" t="n"/>
      <c r="I632" s="38" t="n"/>
      <c r="J632" s="38" t="n"/>
    </row>
    <row r="633" ht="15" customHeight="1" s="33">
      <c r="A633" s="57">
        <f>IF(B633="","",ROW()-4)</f>
        <v/>
      </c>
      <c r="B633" s="58" t="n"/>
      <c r="C633" s="38" t="n"/>
      <c r="D633" s="38" t="n"/>
      <c r="E633" s="41" t="n"/>
      <c r="F633" s="57">
        <f>IF(D633="","",IFERROR(INDEX(Referensi!$J$5:$J$30,MATCH(D633,Referensi!$I$5:$I$30,0)),"?"))</f>
        <v/>
      </c>
      <c r="G633" s="38" t="n"/>
      <c r="H633" s="38" t="n"/>
      <c r="I633" s="38" t="n"/>
      <c r="J633" s="38" t="n"/>
    </row>
    <row r="634" ht="15" customHeight="1" s="33">
      <c r="A634" s="57">
        <f>IF(B634="","",ROW()-4)</f>
        <v/>
      </c>
      <c r="B634" s="58" t="n"/>
      <c r="C634" s="38" t="n"/>
      <c r="D634" s="38" t="n"/>
      <c r="E634" s="41" t="n"/>
      <c r="F634" s="57">
        <f>IF(D634="","",IFERROR(INDEX(Referensi!$J$5:$J$30,MATCH(D634,Referensi!$I$5:$I$30,0)),"?"))</f>
        <v/>
      </c>
      <c r="G634" s="38" t="n"/>
      <c r="H634" s="38" t="n"/>
      <c r="I634" s="38" t="n"/>
      <c r="J634" s="38" t="n"/>
    </row>
    <row r="635" ht="15" customHeight="1" s="33">
      <c r="A635" s="57">
        <f>IF(B635="","",ROW()-4)</f>
        <v/>
      </c>
      <c r="B635" s="58" t="n"/>
      <c r="C635" s="38" t="n"/>
      <c r="D635" s="38" t="n"/>
      <c r="E635" s="41" t="n"/>
      <c r="F635" s="57">
        <f>IF(D635="","",IFERROR(INDEX(Referensi!$J$5:$J$30,MATCH(D635,Referensi!$I$5:$I$30,0)),"?"))</f>
        <v/>
      </c>
      <c r="G635" s="38" t="n"/>
      <c r="H635" s="38" t="n"/>
      <c r="I635" s="38" t="n"/>
      <c r="J635" s="38" t="n"/>
    </row>
    <row r="636" ht="15" customHeight="1" s="33">
      <c r="A636" s="57">
        <f>IF(B636="","",ROW()-4)</f>
        <v/>
      </c>
      <c r="B636" s="58" t="n"/>
      <c r="C636" s="38" t="n"/>
      <c r="D636" s="38" t="n"/>
      <c r="E636" s="41" t="n"/>
      <c r="F636" s="57">
        <f>IF(D636="","",IFERROR(INDEX(Referensi!$J$5:$J$30,MATCH(D636,Referensi!$I$5:$I$30,0)),"?"))</f>
        <v/>
      </c>
      <c r="G636" s="38" t="n"/>
      <c r="H636" s="38" t="n"/>
      <c r="I636" s="38" t="n"/>
      <c r="J636" s="38" t="n"/>
    </row>
    <row r="637" ht="15" customHeight="1" s="33">
      <c r="A637" s="57">
        <f>IF(B637="","",ROW()-4)</f>
        <v/>
      </c>
      <c r="B637" s="58" t="n"/>
      <c r="C637" s="38" t="n"/>
      <c r="D637" s="38" t="n"/>
      <c r="E637" s="41" t="n"/>
      <c r="F637" s="57">
        <f>IF(D637="","",IFERROR(INDEX(Referensi!$J$5:$J$30,MATCH(D637,Referensi!$I$5:$I$30,0)),"?"))</f>
        <v/>
      </c>
      <c r="G637" s="38" t="n"/>
      <c r="H637" s="38" t="n"/>
      <c r="I637" s="38" t="n"/>
      <c r="J637" s="38" t="n"/>
    </row>
    <row r="638" ht="15" customHeight="1" s="33">
      <c r="A638" s="57">
        <f>IF(B638="","",ROW()-4)</f>
        <v/>
      </c>
      <c r="B638" s="58" t="n"/>
      <c r="C638" s="38" t="n"/>
      <c r="D638" s="38" t="n"/>
      <c r="E638" s="41" t="n"/>
      <c r="F638" s="57">
        <f>IF(D638="","",IFERROR(INDEX(Referensi!$J$5:$J$30,MATCH(D638,Referensi!$I$5:$I$30,0)),"?"))</f>
        <v/>
      </c>
      <c r="G638" s="38" t="n"/>
      <c r="H638" s="38" t="n"/>
      <c r="I638" s="38" t="n"/>
      <c r="J638" s="38" t="n"/>
    </row>
    <row r="639" ht="15" customHeight="1" s="33">
      <c r="A639" s="57">
        <f>IF(B639="","",ROW()-4)</f>
        <v/>
      </c>
      <c r="B639" s="58" t="n"/>
      <c r="C639" s="38" t="n"/>
      <c r="D639" s="38" t="n"/>
      <c r="E639" s="41" t="n"/>
      <c r="F639" s="57">
        <f>IF(D639="","",IFERROR(INDEX(Referensi!$J$5:$J$30,MATCH(D639,Referensi!$I$5:$I$30,0)),"?"))</f>
        <v/>
      </c>
      <c r="G639" s="38" t="n"/>
      <c r="H639" s="38" t="n"/>
      <c r="I639" s="38" t="n"/>
      <c r="J639" s="38" t="n"/>
    </row>
    <row r="640" ht="15" customHeight="1" s="33">
      <c r="A640" s="57">
        <f>IF(B640="","",ROW()-4)</f>
        <v/>
      </c>
      <c r="B640" s="58" t="n"/>
      <c r="C640" s="38" t="n"/>
      <c r="D640" s="38" t="n"/>
      <c r="E640" s="41" t="n"/>
      <c r="F640" s="57">
        <f>IF(D640="","",IFERROR(INDEX(Referensi!$J$5:$J$30,MATCH(D640,Referensi!$I$5:$I$30,0)),"?"))</f>
        <v/>
      </c>
      <c r="G640" s="38" t="n"/>
      <c r="H640" s="38" t="n"/>
      <c r="I640" s="38" t="n"/>
      <c r="J640" s="38" t="n"/>
    </row>
    <row r="641" ht="15" customHeight="1" s="33">
      <c r="A641" s="57">
        <f>IF(B641="","",ROW()-4)</f>
        <v/>
      </c>
      <c r="B641" s="58" t="n"/>
      <c r="C641" s="38" t="n"/>
      <c r="D641" s="38" t="n"/>
      <c r="E641" s="41" t="n"/>
      <c r="F641" s="57">
        <f>IF(D641="","",IFERROR(INDEX(Referensi!$J$5:$J$30,MATCH(D641,Referensi!$I$5:$I$30,0)),"?"))</f>
        <v/>
      </c>
      <c r="G641" s="38" t="n"/>
      <c r="H641" s="38" t="n"/>
      <c r="I641" s="38" t="n"/>
      <c r="J641" s="38" t="n"/>
    </row>
    <row r="642" ht="15" customHeight="1" s="33">
      <c r="A642" s="57">
        <f>IF(B642="","",ROW()-4)</f>
        <v/>
      </c>
      <c r="B642" s="58" t="n"/>
      <c r="C642" s="38" t="n"/>
      <c r="D642" s="38" t="n"/>
      <c r="E642" s="41" t="n"/>
      <c r="F642" s="57">
        <f>IF(D642="","",IFERROR(INDEX(Referensi!$J$5:$J$30,MATCH(D642,Referensi!$I$5:$I$30,0)),"?"))</f>
        <v/>
      </c>
      <c r="G642" s="38" t="n"/>
      <c r="H642" s="38" t="n"/>
      <c r="I642" s="38" t="n"/>
      <c r="J642" s="38" t="n"/>
    </row>
    <row r="643" ht="15" customHeight="1" s="33">
      <c r="A643" s="57">
        <f>IF(B643="","",ROW()-4)</f>
        <v/>
      </c>
      <c r="B643" s="58" t="n"/>
      <c r="C643" s="38" t="n"/>
      <c r="D643" s="38" t="n"/>
      <c r="E643" s="41" t="n"/>
      <c r="F643" s="57">
        <f>IF(D643="","",IFERROR(INDEX(Referensi!$J$5:$J$30,MATCH(D643,Referensi!$I$5:$I$30,0)),"?"))</f>
        <v/>
      </c>
      <c r="G643" s="38" t="n"/>
      <c r="H643" s="38" t="n"/>
      <c r="I643" s="38" t="n"/>
      <c r="J643" s="38" t="n"/>
    </row>
    <row r="644" ht="15" customHeight="1" s="33">
      <c r="A644" s="57">
        <f>IF(B644="","",ROW()-4)</f>
        <v/>
      </c>
      <c r="B644" s="58" t="n"/>
      <c r="C644" s="38" t="n"/>
      <c r="D644" s="38" t="n"/>
      <c r="E644" s="41" t="n"/>
      <c r="F644" s="57">
        <f>IF(D644="","",IFERROR(INDEX(Referensi!$J$5:$J$30,MATCH(D644,Referensi!$I$5:$I$30,0)),"?"))</f>
        <v/>
      </c>
      <c r="G644" s="38" t="n"/>
      <c r="H644" s="38" t="n"/>
      <c r="I644" s="38" t="n"/>
      <c r="J644" s="38" t="n"/>
    </row>
    <row r="645" ht="15" customHeight="1" s="33">
      <c r="A645" s="57">
        <f>IF(B645="","",ROW()-4)</f>
        <v/>
      </c>
      <c r="B645" s="58" t="n"/>
      <c r="C645" s="38" t="n"/>
      <c r="D645" s="38" t="n"/>
      <c r="E645" s="41" t="n"/>
      <c r="F645" s="57">
        <f>IF(D645="","",IFERROR(INDEX(Referensi!$J$5:$J$30,MATCH(D645,Referensi!$I$5:$I$30,0)),"?"))</f>
        <v/>
      </c>
      <c r="G645" s="38" t="n"/>
      <c r="H645" s="38" t="n"/>
      <c r="I645" s="38" t="n"/>
      <c r="J645" s="38" t="n"/>
    </row>
    <row r="646" ht="15" customHeight="1" s="33">
      <c r="A646" s="57">
        <f>IF(B646="","",ROW()-4)</f>
        <v/>
      </c>
      <c r="B646" s="58" t="n"/>
      <c r="C646" s="38" t="n"/>
      <c r="D646" s="38" t="n"/>
      <c r="E646" s="41" t="n"/>
      <c r="F646" s="57">
        <f>IF(D646="","",IFERROR(INDEX(Referensi!$J$5:$J$30,MATCH(D646,Referensi!$I$5:$I$30,0)),"?"))</f>
        <v/>
      </c>
      <c r="G646" s="38" t="n"/>
      <c r="H646" s="38" t="n"/>
      <c r="I646" s="38" t="n"/>
      <c r="J646" s="38" t="n"/>
    </row>
    <row r="647" ht="15" customHeight="1" s="33">
      <c r="A647" s="57">
        <f>IF(B647="","",ROW()-4)</f>
        <v/>
      </c>
      <c r="B647" s="58" t="n"/>
      <c r="C647" s="38" t="n"/>
      <c r="D647" s="38" t="n"/>
      <c r="E647" s="41" t="n"/>
      <c r="F647" s="57">
        <f>IF(D647="","",IFERROR(INDEX(Referensi!$J$5:$J$30,MATCH(D647,Referensi!$I$5:$I$30,0)),"?"))</f>
        <v/>
      </c>
      <c r="G647" s="38" t="n"/>
      <c r="H647" s="38" t="n"/>
      <c r="I647" s="38" t="n"/>
      <c r="J647" s="38" t="n"/>
    </row>
    <row r="648" ht="15" customHeight="1" s="33">
      <c r="A648" s="57">
        <f>IF(B648="","",ROW()-4)</f>
        <v/>
      </c>
      <c r="B648" s="58" t="n"/>
      <c r="C648" s="38" t="n"/>
      <c r="D648" s="38" t="n"/>
      <c r="E648" s="41" t="n"/>
      <c r="F648" s="57">
        <f>IF(D648="","",IFERROR(INDEX(Referensi!$J$5:$J$30,MATCH(D648,Referensi!$I$5:$I$30,0)),"?"))</f>
        <v/>
      </c>
      <c r="G648" s="38" t="n"/>
      <c r="H648" s="38" t="n"/>
      <c r="I648" s="38" t="n"/>
      <c r="J648" s="38" t="n"/>
    </row>
    <row r="649" ht="15" customHeight="1" s="33">
      <c r="A649" s="57">
        <f>IF(B649="","",ROW()-4)</f>
        <v/>
      </c>
      <c r="B649" s="58" t="n"/>
      <c r="C649" s="38" t="n"/>
      <c r="D649" s="38" t="n"/>
      <c r="E649" s="41" t="n"/>
      <c r="F649" s="57">
        <f>IF(D649="","",IFERROR(INDEX(Referensi!$J$5:$J$30,MATCH(D649,Referensi!$I$5:$I$30,0)),"?"))</f>
        <v/>
      </c>
      <c r="G649" s="38" t="n"/>
      <c r="H649" s="38" t="n"/>
      <c r="I649" s="38" t="n"/>
      <c r="J649" s="38" t="n"/>
    </row>
    <row r="650" ht="15" customHeight="1" s="33">
      <c r="A650" s="57">
        <f>IF(B650="","",ROW()-4)</f>
        <v/>
      </c>
      <c r="B650" s="58" t="n"/>
      <c r="C650" s="38" t="n"/>
      <c r="D650" s="38" t="n"/>
      <c r="E650" s="41" t="n"/>
      <c r="F650" s="57">
        <f>IF(D650="","",IFERROR(INDEX(Referensi!$J$5:$J$30,MATCH(D650,Referensi!$I$5:$I$30,0)),"?"))</f>
        <v/>
      </c>
      <c r="G650" s="38" t="n"/>
      <c r="H650" s="38" t="n"/>
      <c r="I650" s="38" t="n"/>
      <c r="J650" s="38" t="n"/>
    </row>
    <row r="651" ht="15" customHeight="1" s="33">
      <c r="A651" s="57">
        <f>IF(B651="","",ROW()-4)</f>
        <v/>
      </c>
      <c r="B651" s="58" t="n"/>
      <c r="C651" s="38" t="n"/>
      <c r="D651" s="38" t="n"/>
      <c r="E651" s="41" t="n"/>
      <c r="F651" s="57">
        <f>IF(D651="","",IFERROR(INDEX(Referensi!$J$5:$J$30,MATCH(D651,Referensi!$I$5:$I$30,0)),"?"))</f>
        <v/>
      </c>
      <c r="G651" s="38" t="n"/>
      <c r="H651" s="38" t="n"/>
      <c r="I651" s="38" t="n"/>
      <c r="J651" s="38" t="n"/>
    </row>
    <row r="652" ht="15" customHeight="1" s="33">
      <c r="A652" s="57">
        <f>IF(B652="","",ROW()-4)</f>
        <v/>
      </c>
      <c r="B652" s="58" t="n"/>
      <c r="C652" s="38" t="n"/>
      <c r="D652" s="38" t="n"/>
      <c r="E652" s="41" t="n"/>
      <c r="F652" s="57">
        <f>IF(D652="","",IFERROR(INDEX(Referensi!$J$5:$J$30,MATCH(D652,Referensi!$I$5:$I$30,0)),"?"))</f>
        <v/>
      </c>
      <c r="G652" s="38" t="n"/>
      <c r="H652" s="38" t="n"/>
      <c r="I652" s="38" t="n"/>
      <c r="J652" s="38" t="n"/>
    </row>
    <row r="653" ht="15" customHeight="1" s="33">
      <c r="A653" s="57">
        <f>IF(B653="","",ROW()-4)</f>
        <v/>
      </c>
      <c r="B653" s="58" t="n"/>
      <c r="C653" s="38" t="n"/>
      <c r="D653" s="38" t="n"/>
      <c r="E653" s="41" t="n"/>
      <c r="F653" s="57">
        <f>IF(D653="","",IFERROR(INDEX(Referensi!$J$5:$J$30,MATCH(D653,Referensi!$I$5:$I$30,0)),"?"))</f>
        <v/>
      </c>
      <c r="G653" s="38" t="n"/>
      <c r="H653" s="38" t="n"/>
      <c r="I653" s="38" t="n"/>
      <c r="J653" s="38" t="n"/>
    </row>
    <row r="654" ht="15" customHeight="1" s="33">
      <c r="A654" s="57">
        <f>IF(B654="","",ROW()-4)</f>
        <v/>
      </c>
      <c r="B654" s="58" t="n"/>
      <c r="C654" s="38" t="n"/>
      <c r="D654" s="38" t="n"/>
      <c r="E654" s="41" t="n"/>
      <c r="F654" s="57">
        <f>IF(D654="","",IFERROR(INDEX(Referensi!$J$5:$J$30,MATCH(D654,Referensi!$I$5:$I$30,0)),"?"))</f>
        <v/>
      </c>
      <c r="G654" s="38" t="n"/>
      <c r="H654" s="38" t="n"/>
      <c r="I654" s="38" t="n"/>
      <c r="J654" s="38" t="n"/>
    </row>
    <row r="655" ht="15" customHeight="1" s="33">
      <c r="A655" s="57">
        <f>IF(B655="","",ROW()-4)</f>
        <v/>
      </c>
      <c r="B655" s="58" t="n"/>
      <c r="C655" s="38" t="n"/>
      <c r="D655" s="38" t="n"/>
      <c r="E655" s="41" t="n"/>
      <c r="F655" s="57">
        <f>IF(D655="","",IFERROR(INDEX(Referensi!$J$5:$J$30,MATCH(D655,Referensi!$I$5:$I$30,0)),"?"))</f>
        <v/>
      </c>
      <c r="G655" s="38" t="n"/>
      <c r="H655" s="38" t="n"/>
      <c r="I655" s="38" t="n"/>
      <c r="J655" s="38" t="n"/>
    </row>
    <row r="656" ht="15" customHeight="1" s="33">
      <c r="A656" s="57">
        <f>IF(B656="","",ROW()-4)</f>
        <v/>
      </c>
      <c r="B656" s="58" t="n"/>
      <c r="C656" s="38" t="n"/>
      <c r="D656" s="38" t="n"/>
      <c r="E656" s="41" t="n"/>
      <c r="F656" s="57">
        <f>IF(D656="","",IFERROR(INDEX(Referensi!$J$5:$J$30,MATCH(D656,Referensi!$I$5:$I$30,0)),"?"))</f>
        <v/>
      </c>
      <c r="G656" s="38" t="n"/>
      <c r="H656" s="38" t="n"/>
      <c r="I656" s="38" t="n"/>
      <c r="J656" s="38" t="n"/>
    </row>
    <row r="657" ht="15" customHeight="1" s="33">
      <c r="A657" s="57">
        <f>IF(B657="","",ROW()-4)</f>
        <v/>
      </c>
      <c r="B657" s="58" t="n"/>
      <c r="C657" s="38" t="n"/>
      <c r="D657" s="38" t="n"/>
      <c r="E657" s="41" t="n"/>
      <c r="F657" s="57">
        <f>IF(D657="","",IFERROR(INDEX(Referensi!$J$5:$J$30,MATCH(D657,Referensi!$I$5:$I$30,0)),"?"))</f>
        <v/>
      </c>
      <c r="G657" s="38" t="n"/>
      <c r="H657" s="38" t="n"/>
      <c r="I657" s="38" t="n"/>
      <c r="J657" s="38" t="n"/>
    </row>
    <row r="658" ht="15" customHeight="1" s="33">
      <c r="A658" s="57">
        <f>IF(B658="","",ROW()-4)</f>
        <v/>
      </c>
      <c r="B658" s="58" t="n"/>
      <c r="C658" s="38" t="n"/>
      <c r="D658" s="38" t="n"/>
      <c r="E658" s="41" t="n"/>
      <c r="F658" s="57">
        <f>IF(D658="","",IFERROR(INDEX(Referensi!$J$5:$J$30,MATCH(D658,Referensi!$I$5:$I$30,0)),"?"))</f>
        <v/>
      </c>
      <c r="G658" s="38" t="n"/>
      <c r="H658" s="38" t="n"/>
      <c r="I658" s="38" t="n"/>
      <c r="J658" s="38" t="n"/>
    </row>
    <row r="659" ht="15" customHeight="1" s="33">
      <c r="A659" s="57">
        <f>IF(B659="","",ROW()-4)</f>
        <v/>
      </c>
      <c r="B659" s="58" t="n"/>
      <c r="C659" s="38" t="n"/>
      <c r="D659" s="38" t="n"/>
      <c r="E659" s="41" t="n"/>
      <c r="F659" s="57">
        <f>IF(D659="","",IFERROR(INDEX(Referensi!$J$5:$J$30,MATCH(D659,Referensi!$I$5:$I$30,0)),"?"))</f>
        <v/>
      </c>
      <c r="G659" s="38" t="n"/>
      <c r="H659" s="38" t="n"/>
      <c r="I659" s="38" t="n"/>
      <c r="J659" s="38" t="n"/>
    </row>
    <row r="660" ht="15" customHeight="1" s="33">
      <c r="A660" s="57">
        <f>IF(B660="","",ROW()-4)</f>
        <v/>
      </c>
      <c r="B660" s="58" t="n"/>
      <c r="C660" s="38" t="n"/>
      <c r="D660" s="38" t="n"/>
      <c r="E660" s="41" t="n"/>
      <c r="F660" s="57">
        <f>IF(D660="","",IFERROR(INDEX(Referensi!$J$5:$J$30,MATCH(D660,Referensi!$I$5:$I$30,0)),"?"))</f>
        <v/>
      </c>
      <c r="G660" s="38" t="n"/>
      <c r="H660" s="38" t="n"/>
      <c r="I660" s="38" t="n"/>
      <c r="J660" s="38" t="n"/>
    </row>
    <row r="661" ht="15" customHeight="1" s="33">
      <c r="A661" s="57">
        <f>IF(B661="","",ROW()-4)</f>
        <v/>
      </c>
      <c r="B661" s="58" t="n"/>
      <c r="C661" s="38" t="n"/>
      <c r="D661" s="38" t="n"/>
      <c r="E661" s="41" t="n"/>
      <c r="F661" s="57">
        <f>IF(D661="","",IFERROR(INDEX(Referensi!$J$5:$J$30,MATCH(D661,Referensi!$I$5:$I$30,0)),"?"))</f>
        <v/>
      </c>
      <c r="G661" s="38" t="n"/>
      <c r="H661" s="38" t="n"/>
      <c r="I661" s="38" t="n"/>
      <c r="J661" s="38" t="n"/>
    </row>
    <row r="662" ht="15" customHeight="1" s="33">
      <c r="A662" s="57">
        <f>IF(B662="","",ROW()-4)</f>
        <v/>
      </c>
      <c r="B662" s="58" t="n"/>
      <c r="C662" s="38" t="n"/>
      <c r="D662" s="38" t="n"/>
      <c r="E662" s="41" t="n"/>
      <c r="F662" s="57">
        <f>IF(D662="","",IFERROR(INDEX(Referensi!$J$5:$J$30,MATCH(D662,Referensi!$I$5:$I$30,0)),"?"))</f>
        <v/>
      </c>
      <c r="G662" s="38" t="n"/>
      <c r="H662" s="38" t="n"/>
      <c r="I662" s="38" t="n"/>
      <c r="J662" s="38" t="n"/>
    </row>
    <row r="663" ht="15" customHeight="1" s="33">
      <c r="A663" s="57">
        <f>IF(B663="","",ROW()-4)</f>
        <v/>
      </c>
      <c r="B663" s="58" t="n"/>
      <c r="C663" s="38" t="n"/>
      <c r="D663" s="38" t="n"/>
      <c r="E663" s="41" t="n"/>
      <c r="F663" s="57">
        <f>IF(D663="","",IFERROR(INDEX(Referensi!$J$5:$J$30,MATCH(D663,Referensi!$I$5:$I$30,0)),"?"))</f>
        <v/>
      </c>
      <c r="G663" s="38" t="n"/>
      <c r="H663" s="38" t="n"/>
      <c r="I663" s="38" t="n"/>
      <c r="J663" s="38" t="n"/>
    </row>
    <row r="664" ht="15" customHeight="1" s="33">
      <c r="A664" s="57">
        <f>IF(B664="","",ROW()-4)</f>
        <v/>
      </c>
      <c r="B664" s="58" t="n"/>
      <c r="C664" s="38" t="n"/>
      <c r="D664" s="38" t="n"/>
      <c r="E664" s="41" t="n"/>
      <c r="F664" s="57">
        <f>IF(D664="","",IFERROR(INDEX(Referensi!$J$5:$J$30,MATCH(D664,Referensi!$I$5:$I$30,0)),"?"))</f>
        <v/>
      </c>
      <c r="G664" s="38" t="n"/>
      <c r="H664" s="38" t="n"/>
      <c r="I664" s="38" t="n"/>
      <c r="J664" s="38" t="n"/>
    </row>
    <row r="665" ht="15" customHeight="1" s="33">
      <c r="A665" s="57">
        <f>IF(B665="","",ROW()-4)</f>
        <v/>
      </c>
      <c r="B665" s="58" t="n"/>
      <c r="C665" s="38" t="n"/>
      <c r="D665" s="38" t="n"/>
      <c r="E665" s="41" t="n"/>
      <c r="F665" s="57">
        <f>IF(D665="","",IFERROR(INDEX(Referensi!$J$5:$J$30,MATCH(D665,Referensi!$I$5:$I$30,0)),"?"))</f>
        <v/>
      </c>
      <c r="G665" s="38" t="n"/>
      <c r="H665" s="38" t="n"/>
      <c r="I665" s="38" t="n"/>
      <c r="J665" s="38" t="n"/>
    </row>
    <row r="666" ht="15" customHeight="1" s="33">
      <c r="A666" s="57">
        <f>IF(B666="","",ROW()-4)</f>
        <v/>
      </c>
      <c r="B666" s="58" t="n"/>
      <c r="C666" s="38" t="n"/>
      <c r="D666" s="38" t="n"/>
      <c r="E666" s="41" t="n"/>
      <c r="F666" s="57">
        <f>IF(D666="","",IFERROR(INDEX(Referensi!$J$5:$J$30,MATCH(D666,Referensi!$I$5:$I$30,0)),"?"))</f>
        <v/>
      </c>
      <c r="G666" s="38" t="n"/>
      <c r="H666" s="38" t="n"/>
      <c r="I666" s="38" t="n"/>
      <c r="J666" s="38" t="n"/>
    </row>
    <row r="667" ht="15" customHeight="1" s="33">
      <c r="A667" s="57">
        <f>IF(B667="","",ROW()-4)</f>
        <v/>
      </c>
      <c r="B667" s="58" t="n"/>
      <c r="C667" s="38" t="n"/>
      <c r="D667" s="38" t="n"/>
      <c r="E667" s="41" t="n"/>
      <c r="F667" s="57">
        <f>IF(D667="","",IFERROR(INDEX(Referensi!$J$5:$J$30,MATCH(D667,Referensi!$I$5:$I$30,0)),"?"))</f>
        <v/>
      </c>
      <c r="G667" s="38" t="n"/>
      <c r="H667" s="38" t="n"/>
      <c r="I667" s="38" t="n"/>
      <c r="J667" s="38" t="n"/>
    </row>
    <row r="668" ht="15" customHeight="1" s="33">
      <c r="A668" s="57">
        <f>IF(B668="","",ROW()-4)</f>
        <v/>
      </c>
      <c r="B668" s="58" t="n"/>
      <c r="C668" s="38" t="n"/>
      <c r="D668" s="38" t="n"/>
      <c r="E668" s="41" t="n"/>
      <c r="F668" s="57">
        <f>IF(D668="","",IFERROR(INDEX(Referensi!$J$5:$J$30,MATCH(D668,Referensi!$I$5:$I$30,0)),"?"))</f>
        <v/>
      </c>
      <c r="G668" s="38" t="n"/>
      <c r="H668" s="38" t="n"/>
      <c r="I668" s="38" t="n"/>
      <c r="J668" s="38" t="n"/>
    </row>
    <row r="669" ht="15" customHeight="1" s="33">
      <c r="A669" s="57">
        <f>IF(B669="","",ROW()-4)</f>
        <v/>
      </c>
      <c r="B669" s="58" t="n"/>
      <c r="C669" s="38" t="n"/>
      <c r="D669" s="38" t="n"/>
      <c r="E669" s="41" t="n"/>
      <c r="F669" s="57">
        <f>IF(D669="","",IFERROR(INDEX(Referensi!$J$5:$J$30,MATCH(D669,Referensi!$I$5:$I$30,0)),"?"))</f>
        <v/>
      </c>
      <c r="G669" s="38" t="n"/>
      <c r="H669" s="38" t="n"/>
      <c r="I669" s="38" t="n"/>
      <c r="J669" s="38" t="n"/>
    </row>
    <row r="670" ht="15" customHeight="1" s="33">
      <c r="A670" s="57">
        <f>IF(B670="","",ROW()-4)</f>
        <v/>
      </c>
      <c r="B670" s="58" t="n"/>
      <c r="C670" s="38" t="n"/>
      <c r="D670" s="38" t="n"/>
      <c r="E670" s="41" t="n"/>
      <c r="F670" s="57">
        <f>IF(D670="","",IFERROR(INDEX(Referensi!$J$5:$J$30,MATCH(D670,Referensi!$I$5:$I$30,0)),"?"))</f>
        <v/>
      </c>
      <c r="G670" s="38" t="n"/>
      <c r="H670" s="38" t="n"/>
      <c r="I670" s="38" t="n"/>
      <c r="J670" s="38" t="n"/>
    </row>
    <row r="671" ht="15" customHeight="1" s="33">
      <c r="A671" s="57">
        <f>IF(B671="","",ROW()-4)</f>
        <v/>
      </c>
      <c r="B671" s="58" t="n"/>
      <c r="C671" s="38" t="n"/>
      <c r="D671" s="38" t="n"/>
      <c r="E671" s="41" t="n"/>
      <c r="F671" s="57">
        <f>IF(D671="","",IFERROR(INDEX(Referensi!$J$5:$J$30,MATCH(D671,Referensi!$I$5:$I$30,0)),"?"))</f>
        <v/>
      </c>
      <c r="G671" s="38" t="n"/>
      <c r="H671" s="38" t="n"/>
      <c r="I671" s="38" t="n"/>
      <c r="J671" s="38" t="n"/>
    </row>
    <row r="672" ht="15" customHeight="1" s="33">
      <c r="A672" s="57">
        <f>IF(B672="","",ROW()-4)</f>
        <v/>
      </c>
      <c r="B672" s="58" t="n"/>
      <c r="C672" s="38" t="n"/>
      <c r="D672" s="38" t="n"/>
      <c r="E672" s="41" t="n"/>
      <c r="F672" s="57">
        <f>IF(D672="","",IFERROR(INDEX(Referensi!$J$5:$J$30,MATCH(D672,Referensi!$I$5:$I$30,0)),"?"))</f>
        <v/>
      </c>
      <c r="G672" s="38" t="n"/>
      <c r="H672" s="38" t="n"/>
      <c r="I672" s="38" t="n"/>
      <c r="J672" s="38" t="n"/>
    </row>
    <row r="673" ht="15" customHeight="1" s="33">
      <c r="A673" s="57">
        <f>IF(B673="","",ROW()-4)</f>
        <v/>
      </c>
      <c r="B673" s="58" t="n"/>
      <c r="C673" s="38" t="n"/>
      <c r="D673" s="38" t="n"/>
      <c r="E673" s="41" t="n"/>
      <c r="F673" s="57">
        <f>IF(D673="","",IFERROR(INDEX(Referensi!$J$5:$J$30,MATCH(D673,Referensi!$I$5:$I$30,0)),"?"))</f>
        <v/>
      </c>
      <c r="G673" s="38" t="n"/>
      <c r="H673" s="38" t="n"/>
      <c r="I673" s="38" t="n"/>
      <c r="J673" s="38" t="n"/>
    </row>
    <row r="674" ht="15" customHeight="1" s="33">
      <c r="A674" s="57">
        <f>IF(B674="","",ROW()-4)</f>
        <v/>
      </c>
      <c r="B674" s="58" t="n"/>
      <c r="C674" s="38" t="n"/>
      <c r="D674" s="38" t="n"/>
      <c r="E674" s="41" t="n"/>
      <c r="F674" s="57">
        <f>IF(D674="","",IFERROR(INDEX(Referensi!$J$5:$J$30,MATCH(D674,Referensi!$I$5:$I$30,0)),"?"))</f>
        <v/>
      </c>
      <c r="G674" s="38" t="n"/>
      <c r="H674" s="38" t="n"/>
      <c r="I674" s="38" t="n"/>
      <c r="J674" s="38" t="n"/>
    </row>
    <row r="675" ht="15" customHeight="1" s="33">
      <c r="A675" s="57">
        <f>IF(B675="","",ROW()-4)</f>
        <v/>
      </c>
      <c r="B675" s="58" t="n"/>
      <c r="C675" s="38" t="n"/>
      <c r="D675" s="38" t="n"/>
      <c r="E675" s="41" t="n"/>
      <c r="F675" s="57">
        <f>IF(D675="","",IFERROR(INDEX(Referensi!$J$5:$J$30,MATCH(D675,Referensi!$I$5:$I$30,0)),"?"))</f>
        <v/>
      </c>
      <c r="G675" s="38" t="n"/>
      <c r="H675" s="38" t="n"/>
      <c r="I675" s="38" t="n"/>
      <c r="J675" s="38" t="n"/>
    </row>
    <row r="676" ht="15" customHeight="1" s="33">
      <c r="A676" s="57">
        <f>IF(B676="","",ROW()-4)</f>
        <v/>
      </c>
      <c r="B676" s="58" t="n"/>
      <c r="C676" s="38" t="n"/>
      <c r="D676" s="38" t="n"/>
      <c r="E676" s="41" t="n"/>
      <c r="F676" s="57">
        <f>IF(D676="","",IFERROR(INDEX(Referensi!$J$5:$J$30,MATCH(D676,Referensi!$I$5:$I$30,0)),"?"))</f>
        <v/>
      </c>
      <c r="G676" s="38" t="n"/>
      <c r="H676" s="38" t="n"/>
      <c r="I676" s="38" t="n"/>
      <c r="J676" s="38" t="n"/>
    </row>
    <row r="677" ht="15" customHeight="1" s="33">
      <c r="A677" s="57">
        <f>IF(B677="","",ROW()-4)</f>
        <v/>
      </c>
      <c r="B677" s="58" t="n"/>
      <c r="C677" s="38" t="n"/>
      <c r="D677" s="38" t="n"/>
      <c r="E677" s="41" t="n"/>
      <c r="F677" s="57">
        <f>IF(D677="","",IFERROR(INDEX(Referensi!$J$5:$J$30,MATCH(D677,Referensi!$I$5:$I$30,0)),"?"))</f>
        <v/>
      </c>
      <c r="G677" s="38" t="n"/>
      <c r="H677" s="38" t="n"/>
      <c r="I677" s="38" t="n"/>
      <c r="J677" s="38" t="n"/>
    </row>
    <row r="678" ht="15" customHeight="1" s="33">
      <c r="A678" s="57">
        <f>IF(B678="","",ROW()-4)</f>
        <v/>
      </c>
      <c r="B678" s="58" t="n"/>
      <c r="C678" s="38" t="n"/>
      <c r="D678" s="38" t="n"/>
      <c r="E678" s="41" t="n"/>
      <c r="F678" s="57">
        <f>IF(D678="","",IFERROR(INDEX(Referensi!$J$5:$J$30,MATCH(D678,Referensi!$I$5:$I$30,0)),"?"))</f>
        <v/>
      </c>
      <c r="G678" s="38" t="n"/>
      <c r="H678" s="38" t="n"/>
      <c r="I678" s="38" t="n"/>
      <c r="J678" s="38" t="n"/>
    </row>
    <row r="679" ht="15" customHeight="1" s="33">
      <c r="A679" s="57">
        <f>IF(B679="","",ROW()-4)</f>
        <v/>
      </c>
      <c r="B679" s="58" t="n"/>
      <c r="C679" s="38" t="n"/>
      <c r="D679" s="38" t="n"/>
      <c r="E679" s="41" t="n"/>
      <c r="F679" s="57">
        <f>IF(D679="","",IFERROR(INDEX(Referensi!$J$5:$J$30,MATCH(D679,Referensi!$I$5:$I$30,0)),"?"))</f>
        <v/>
      </c>
      <c r="G679" s="38" t="n"/>
      <c r="H679" s="38" t="n"/>
      <c r="I679" s="38" t="n"/>
      <c r="J679" s="38" t="n"/>
    </row>
    <row r="680" ht="15" customHeight="1" s="33">
      <c r="A680" s="57">
        <f>IF(B680="","",ROW()-4)</f>
        <v/>
      </c>
      <c r="B680" s="58" t="n"/>
      <c r="C680" s="38" t="n"/>
      <c r="D680" s="38" t="n"/>
      <c r="E680" s="41" t="n"/>
      <c r="F680" s="57">
        <f>IF(D680="","",IFERROR(INDEX(Referensi!$J$5:$J$30,MATCH(D680,Referensi!$I$5:$I$30,0)),"?"))</f>
        <v/>
      </c>
      <c r="G680" s="38" t="n"/>
      <c r="H680" s="38" t="n"/>
      <c r="I680" s="38" t="n"/>
      <c r="J680" s="38" t="n"/>
    </row>
    <row r="681" ht="15" customHeight="1" s="33">
      <c r="A681" s="57">
        <f>IF(B681="","",ROW()-4)</f>
        <v/>
      </c>
      <c r="B681" s="58" t="n"/>
      <c r="C681" s="38" t="n"/>
      <c r="D681" s="38" t="n"/>
      <c r="E681" s="41" t="n"/>
      <c r="F681" s="57">
        <f>IF(D681="","",IFERROR(INDEX(Referensi!$J$5:$J$30,MATCH(D681,Referensi!$I$5:$I$30,0)),"?"))</f>
        <v/>
      </c>
      <c r="G681" s="38" t="n"/>
      <c r="H681" s="38" t="n"/>
      <c r="I681" s="38" t="n"/>
      <c r="J681" s="38" t="n"/>
    </row>
    <row r="682" ht="15" customHeight="1" s="33">
      <c r="A682" s="57">
        <f>IF(B682="","",ROW()-4)</f>
        <v/>
      </c>
      <c r="B682" s="58" t="n"/>
      <c r="C682" s="38" t="n"/>
      <c r="D682" s="38" t="n"/>
      <c r="E682" s="41" t="n"/>
      <c r="F682" s="57">
        <f>IF(D682="","",IFERROR(INDEX(Referensi!$J$5:$J$30,MATCH(D682,Referensi!$I$5:$I$30,0)),"?"))</f>
        <v/>
      </c>
      <c r="G682" s="38" t="n"/>
      <c r="H682" s="38" t="n"/>
      <c r="I682" s="38" t="n"/>
      <c r="J682" s="38" t="n"/>
    </row>
    <row r="683" ht="15" customHeight="1" s="33">
      <c r="A683" s="57">
        <f>IF(B683="","",ROW()-4)</f>
        <v/>
      </c>
      <c r="B683" s="58" t="n"/>
      <c r="C683" s="38" t="n"/>
      <c r="D683" s="38" t="n"/>
      <c r="E683" s="41" t="n"/>
      <c r="F683" s="57">
        <f>IF(D683="","",IFERROR(INDEX(Referensi!$J$5:$J$30,MATCH(D683,Referensi!$I$5:$I$30,0)),"?"))</f>
        <v/>
      </c>
      <c r="G683" s="38" t="n"/>
      <c r="H683" s="38" t="n"/>
      <c r="I683" s="38" t="n"/>
      <c r="J683" s="38" t="n"/>
    </row>
    <row r="684" ht="15" customHeight="1" s="33">
      <c r="A684" s="57">
        <f>IF(B684="","",ROW()-4)</f>
        <v/>
      </c>
      <c r="B684" s="58" t="n"/>
      <c r="C684" s="38" t="n"/>
      <c r="D684" s="38" t="n"/>
      <c r="E684" s="41" t="n"/>
      <c r="F684" s="57">
        <f>IF(D684="","",IFERROR(INDEX(Referensi!$J$5:$J$30,MATCH(D684,Referensi!$I$5:$I$30,0)),"?"))</f>
        <v/>
      </c>
      <c r="G684" s="38" t="n"/>
      <c r="H684" s="38" t="n"/>
      <c r="I684" s="38" t="n"/>
      <c r="J684" s="38" t="n"/>
    </row>
    <row r="685" ht="15" customHeight="1" s="33">
      <c r="A685" s="57">
        <f>IF(B685="","",ROW()-4)</f>
        <v/>
      </c>
      <c r="B685" s="58" t="n"/>
      <c r="C685" s="38" t="n"/>
      <c r="D685" s="38" t="n"/>
      <c r="E685" s="41" t="n"/>
      <c r="F685" s="57">
        <f>IF(D685="","",IFERROR(INDEX(Referensi!$J$5:$J$30,MATCH(D685,Referensi!$I$5:$I$30,0)),"?"))</f>
        <v/>
      </c>
      <c r="G685" s="38" t="n"/>
      <c r="H685" s="38" t="n"/>
      <c r="I685" s="38" t="n"/>
      <c r="J685" s="38" t="n"/>
    </row>
    <row r="686" ht="15" customHeight="1" s="33">
      <c r="A686" s="57">
        <f>IF(B686="","",ROW()-4)</f>
        <v/>
      </c>
      <c r="B686" s="58" t="n"/>
      <c r="C686" s="38" t="n"/>
      <c r="D686" s="38" t="n"/>
      <c r="E686" s="41" t="n"/>
      <c r="F686" s="57">
        <f>IF(D686="","",IFERROR(INDEX(Referensi!$J$5:$J$30,MATCH(D686,Referensi!$I$5:$I$30,0)),"?"))</f>
        <v/>
      </c>
      <c r="G686" s="38" t="n"/>
      <c r="H686" s="38" t="n"/>
      <c r="I686" s="38" t="n"/>
      <c r="J686" s="38" t="n"/>
    </row>
    <row r="687" ht="15" customHeight="1" s="33">
      <c r="A687" s="57">
        <f>IF(B687="","",ROW()-4)</f>
        <v/>
      </c>
      <c r="B687" s="58" t="n"/>
      <c r="C687" s="38" t="n"/>
      <c r="D687" s="38" t="n"/>
      <c r="E687" s="41" t="n"/>
      <c r="F687" s="57">
        <f>IF(D687="","",IFERROR(INDEX(Referensi!$J$5:$J$30,MATCH(D687,Referensi!$I$5:$I$30,0)),"?"))</f>
        <v/>
      </c>
      <c r="G687" s="38" t="n"/>
      <c r="H687" s="38" t="n"/>
      <c r="I687" s="38" t="n"/>
      <c r="J687" s="38" t="n"/>
    </row>
    <row r="688" ht="15" customHeight="1" s="33">
      <c r="A688" s="57">
        <f>IF(B688="","",ROW()-4)</f>
        <v/>
      </c>
      <c r="B688" s="58" t="n"/>
      <c r="C688" s="38" t="n"/>
      <c r="D688" s="38" t="n"/>
      <c r="E688" s="41" t="n"/>
      <c r="F688" s="57">
        <f>IF(D688="","",IFERROR(INDEX(Referensi!$J$5:$J$30,MATCH(D688,Referensi!$I$5:$I$30,0)),"?"))</f>
        <v/>
      </c>
      <c r="G688" s="38" t="n"/>
      <c r="H688" s="38" t="n"/>
      <c r="I688" s="38" t="n"/>
      <c r="J688" s="38" t="n"/>
    </row>
    <row r="689" ht="15" customHeight="1" s="33">
      <c r="A689" s="57">
        <f>IF(B689="","",ROW()-4)</f>
        <v/>
      </c>
      <c r="B689" s="58" t="n"/>
      <c r="C689" s="38" t="n"/>
      <c r="D689" s="38" t="n"/>
      <c r="E689" s="41" t="n"/>
      <c r="F689" s="57">
        <f>IF(D689="","",IFERROR(INDEX(Referensi!$J$5:$J$30,MATCH(D689,Referensi!$I$5:$I$30,0)),"?"))</f>
        <v/>
      </c>
      <c r="G689" s="38" t="n"/>
      <c r="H689" s="38" t="n"/>
      <c r="I689" s="38" t="n"/>
      <c r="J689" s="38" t="n"/>
    </row>
    <row r="690" ht="15" customHeight="1" s="33">
      <c r="A690" s="57">
        <f>IF(B690="","",ROW()-4)</f>
        <v/>
      </c>
      <c r="B690" s="58" t="n"/>
      <c r="C690" s="38" t="n"/>
      <c r="D690" s="38" t="n"/>
      <c r="E690" s="41" t="n"/>
      <c r="F690" s="57">
        <f>IF(D690="","",IFERROR(INDEX(Referensi!$J$5:$J$30,MATCH(D690,Referensi!$I$5:$I$30,0)),"?"))</f>
        <v/>
      </c>
      <c r="G690" s="38" t="n"/>
      <c r="H690" s="38" t="n"/>
      <c r="I690" s="38" t="n"/>
      <c r="J690" s="38" t="n"/>
    </row>
    <row r="691" ht="15" customHeight="1" s="33">
      <c r="A691" s="57">
        <f>IF(B691="","",ROW()-4)</f>
        <v/>
      </c>
      <c r="B691" s="58" t="n"/>
      <c r="C691" s="38" t="n"/>
      <c r="D691" s="38" t="n"/>
      <c r="E691" s="41" t="n"/>
      <c r="F691" s="57">
        <f>IF(D691="","",IFERROR(INDEX(Referensi!$J$5:$J$30,MATCH(D691,Referensi!$I$5:$I$30,0)),"?"))</f>
        <v/>
      </c>
      <c r="G691" s="38" t="n"/>
      <c r="H691" s="38" t="n"/>
      <c r="I691" s="38" t="n"/>
      <c r="J691" s="38" t="n"/>
    </row>
    <row r="692" ht="15" customHeight="1" s="33">
      <c r="A692" s="57">
        <f>IF(B692="","",ROW()-4)</f>
        <v/>
      </c>
      <c r="B692" s="58" t="n"/>
      <c r="C692" s="38" t="n"/>
      <c r="D692" s="38" t="n"/>
      <c r="E692" s="41" t="n"/>
      <c r="F692" s="57">
        <f>IF(D692="","",IFERROR(INDEX(Referensi!$J$5:$J$30,MATCH(D692,Referensi!$I$5:$I$30,0)),"?"))</f>
        <v/>
      </c>
      <c r="G692" s="38" t="n"/>
      <c r="H692" s="38" t="n"/>
      <c r="I692" s="38" t="n"/>
      <c r="J692" s="38" t="n"/>
    </row>
    <row r="693" ht="15" customHeight="1" s="33">
      <c r="A693" s="57">
        <f>IF(B693="","",ROW()-4)</f>
        <v/>
      </c>
      <c r="B693" s="58" t="n"/>
      <c r="C693" s="38" t="n"/>
      <c r="D693" s="38" t="n"/>
      <c r="E693" s="41" t="n"/>
      <c r="F693" s="57">
        <f>IF(D693="","",IFERROR(INDEX(Referensi!$J$5:$J$30,MATCH(D693,Referensi!$I$5:$I$30,0)),"?"))</f>
        <v/>
      </c>
      <c r="G693" s="38" t="n"/>
      <c r="H693" s="38" t="n"/>
      <c r="I693" s="38" t="n"/>
      <c r="J693" s="38" t="n"/>
    </row>
    <row r="694" ht="15" customHeight="1" s="33">
      <c r="A694" s="57">
        <f>IF(B694="","",ROW()-4)</f>
        <v/>
      </c>
      <c r="B694" s="58" t="n"/>
      <c r="C694" s="38" t="n"/>
      <c r="D694" s="38" t="n"/>
      <c r="E694" s="41" t="n"/>
      <c r="F694" s="57">
        <f>IF(D694="","",IFERROR(INDEX(Referensi!$J$5:$J$30,MATCH(D694,Referensi!$I$5:$I$30,0)),"?"))</f>
        <v/>
      </c>
      <c r="G694" s="38" t="n"/>
      <c r="H694" s="38" t="n"/>
      <c r="I694" s="38" t="n"/>
      <c r="J694" s="38" t="n"/>
    </row>
    <row r="695" ht="15" customHeight="1" s="33">
      <c r="A695" s="57">
        <f>IF(B695="","",ROW()-4)</f>
        <v/>
      </c>
      <c r="B695" s="58" t="n"/>
      <c r="C695" s="38" t="n"/>
      <c r="D695" s="38" t="n"/>
      <c r="E695" s="41" t="n"/>
      <c r="F695" s="57">
        <f>IF(D695="","",IFERROR(INDEX(Referensi!$J$5:$J$30,MATCH(D695,Referensi!$I$5:$I$30,0)),"?"))</f>
        <v/>
      </c>
      <c r="G695" s="38" t="n"/>
      <c r="H695" s="38" t="n"/>
      <c r="I695" s="38" t="n"/>
      <c r="J695" s="38" t="n"/>
    </row>
    <row r="696" ht="15" customHeight="1" s="33">
      <c r="A696" s="57">
        <f>IF(B696="","",ROW()-4)</f>
        <v/>
      </c>
      <c r="B696" s="58" t="n"/>
      <c r="C696" s="38" t="n"/>
      <c r="D696" s="38" t="n"/>
      <c r="E696" s="41" t="n"/>
      <c r="F696" s="57">
        <f>IF(D696="","",IFERROR(INDEX(Referensi!$J$5:$J$30,MATCH(D696,Referensi!$I$5:$I$30,0)),"?"))</f>
        <v/>
      </c>
      <c r="G696" s="38" t="n"/>
      <c r="H696" s="38" t="n"/>
      <c r="I696" s="38" t="n"/>
      <c r="J696" s="38" t="n"/>
    </row>
    <row r="697" ht="15" customHeight="1" s="33">
      <c r="A697" s="57">
        <f>IF(B697="","",ROW()-4)</f>
        <v/>
      </c>
      <c r="B697" s="58" t="n"/>
      <c r="C697" s="38" t="n"/>
      <c r="D697" s="38" t="n"/>
      <c r="E697" s="41" t="n"/>
      <c r="F697" s="57">
        <f>IF(D697="","",IFERROR(INDEX(Referensi!$J$5:$J$30,MATCH(D697,Referensi!$I$5:$I$30,0)),"?"))</f>
        <v/>
      </c>
      <c r="G697" s="38" t="n"/>
      <c r="H697" s="38" t="n"/>
      <c r="I697" s="38" t="n"/>
      <c r="J697" s="38" t="n"/>
    </row>
    <row r="698" ht="15" customHeight="1" s="33">
      <c r="A698" s="57">
        <f>IF(B698="","",ROW()-4)</f>
        <v/>
      </c>
      <c r="B698" s="58" t="n"/>
      <c r="C698" s="38" t="n"/>
      <c r="D698" s="38" t="n"/>
      <c r="E698" s="41" t="n"/>
      <c r="F698" s="57">
        <f>IF(D698="","",IFERROR(INDEX(Referensi!$J$5:$J$30,MATCH(D698,Referensi!$I$5:$I$30,0)),"?"))</f>
        <v/>
      </c>
      <c r="G698" s="38" t="n"/>
      <c r="H698" s="38" t="n"/>
      <c r="I698" s="38" t="n"/>
      <c r="J698" s="38" t="n"/>
    </row>
    <row r="699" ht="15" customHeight="1" s="33">
      <c r="A699" s="57">
        <f>IF(B699="","",ROW()-4)</f>
        <v/>
      </c>
      <c r="B699" s="58" t="n"/>
      <c r="C699" s="38" t="n"/>
      <c r="D699" s="38" t="n"/>
      <c r="E699" s="41" t="n"/>
      <c r="F699" s="57">
        <f>IF(D699="","",IFERROR(INDEX(Referensi!$J$5:$J$30,MATCH(D699,Referensi!$I$5:$I$30,0)),"?"))</f>
        <v/>
      </c>
      <c r="G699" s="38" t="n"/>
      <c r="H699" s="38" t="n"/>
      <c r="I699" s="38" t="n"/>
      <c r="J699" s="38" t="n"/>
    </row>
    <row r="700" ht="15" customHeight="1" s="33">
      <c r="A700" s="57">
        <f>IF(B700="","",ROW()-4)</f>
        <v/>
      </c>
      <c r="B700" s="58" t="n"/>
      <c r="C700" s="38" t="n"/>
      <c r="D700" s="38" t="n"/>
      <c r="E700" s="41" t="n"/>
      <c r="F700" s="57">
        <f>IF(D700="","",IFERROR(INDEX(Referensi!$J$5:$J$30,MATCH(D700,Referensi!$I$5:$I$30,0)),"?"))</f>
        <v/>
      </c>
      <c r="G700" s="38" t="n"/>
      <c r="H700" s="38" t="n"/>
      <c r="I700" s="38" t="n"/>
      <c r="J700" s="38" t="n"/>
    </row>
    <row r="701" ht="15" customHeight="1" s="33">
      <c r="A701" s="57">
        <f>IF(B701="","",ROW()-4)</f>
        <v/>
      </c>
      <c r="B701" s="58" t="n"/>
      <c r="C701" s="38" t="n"/>
      <c r="D701" s="38" t="n"/>
      <c r="E701" s="41" t="n"/>
      <c r="F701" s="57">
        <f>IF(D701="","",IFERROR(INDEX(Referensi!$J$5:$J$30,MATCH(D701,Referensi!$I$5:$I$30,0)),"?"))</f>
        <v/>
      </c>
      <c r="G701" s="38" t="n"/>
      <c r="H701" s="38" t="n"/>
      <c r="I701" s="38" t="n"/>
      <c r="J701" s="38" t="n"/>
    </row>
    <row r="702" ht="15" customHeight="1" s="33">
      <c r="A702" s="57">
        <f>IF(B702="","",ROW()-4)</f>
        <v/>
      </c>
      <c r="B702" s="58" t="n"/>
      <c r="C702" s="38" t="n"/>
      <c r="D702" s="38" t="n"/>
      <c r="E702" s="41" t="n"/>
      <c r="F702" s="57">
        <f>IF(D702="","",IFERROR(INDEX(Referensi!$J$5:$J$30,MATCH(D702,Referensi!$I$5:$I$30,0)),"?"))</f>
        <v/>
      </c>
      <c r="G702" s="38" t="n"/>
      <c r="H702" s="38" t="n"/>
      <c r="I702" s="38" t="n"/>
      <c r="J702" s="38" t="n"/>
    </row>
    <row r="703" ht="15" customHeight="1" s="33">
      <c r="A703" s="57">
        <f>IF(B703="","",ROW()-4)</f>
        <v/>
      </c>
      <c r="B703" s="58" t="n"/>
      <c r="C703" s="38" t="n"/>
      <c r="D703" s="38" t="n"/>
      <c r="E703" s="41" t="n"/>
      <c r="F703" s="57">
        <f>IF(D703="","",IFERROR(INDEX(Referensi!$J$5:$J$30,MATCH(D703,Referensi!$I$5:$I$30,0)),"?"))</f>
        <v/>
      </c>
      <c r="G703" s="38" t="n"/>
      <c r="H703" s="38" t="n"/>
      <c r="I703" s="38" t="n"/>
      <c r="J703" s="38" t="n"/>
    </row>
    <row r="704" ht="15" customHeight="1" s="33">
      <c r="A704" s="57">
        <f>IF(B704="","",ROW()-4)</f>
        <v/>
      </c>
      <c r="B704" s="58" t="n"/>
      <c r="C704" s="38" t="n"/>
      <c r="D704" s="38" t="n"/>
      <c r="E704" s="41" t="n"/>
      <c r="F704" s="57">
        <f>IF(D704="","",IFERROR(INDEX(Referensi!$J$5:$J$30,MATCH(D704,Referensi!$I$5:$I$30,0)),"?"))</f>
        <v/>
      </c>
      <c r="G704" s="38" t="n"/>
      <c r="H704" s="38" t="n"/>
      <c r="I704" s="38" t="n"/>
      <c r="J704" s="38" t="n"/>
    </row>
    <row r="705" ht="15" customHeight="1" s="33">
      <c r="A705" s="57">
        <f>IF(B705="","",ROW()-4)</f>
        <v/>
      </c>
      <c r="B705" s="58" t="n"/>
      <c r="C705" s="38" t="n"/>
      <c r="D705" s="38" t="n"/>
      <c r="E705" s="41" t="n"/>
      <c r="F705" s="57">
        <f>IF(D705="","",IFERROR(INDEX(Referensi!$J$5:$J$30,MATCH(D705,Referensi!$I$5:$I$30,0)),"?"))</f>
        <v/>
      </c>
      <c r="G705" s="38" t="n"/>
      <c r="H705" s="38" t="n"/>
      <c r="I705" s="38" t="n"/>
      <c r="J705" s="38" t="n"/>
    </row>
    <row r="706" ht="15" customHeight="1" s="33">
      <c r="A706" s="57">
        <f>IF(B706="","",ROW()-4)</f>
        <v/>
      </c>
      <c r="B706" s="58" t="n"/>
      <c r="C706" s="38" t="n"/>
      <c r="D706" s="38" t="n"/>
      <c r="E706" s="41" t="n"/>
      <c r="F706" s="57">
        <f>IF(D706="","",IFERROR(INDEX(Referensi!$J$5:$J$30,MATCH(D706,Referensi!$I$5:$I$30,0)),"?"))</f>
        <v/>
      </c>
      <c r="G706" s="38" t="n"/>
      <c r="H706" s="38" t="n"/>
      <c r="I706" s="38" t="n"/>
      <c r="J706" s="38" t="n"/>
    </row>
    <row r="707" ht="15" customHeight="1" s="33">
      <c r="A707" s="57">
        <f>IF(B707="","",ROW()-4)</f>
        <v/>
      </c>
      <c r="B707" s="58" t="n"/>
      <c r="C707" s="38" t="n"/>
      <c r="D707" s="38" t="n"/>
      <c r="E707" s="41" t="n"/>
      <c r="F707" s="57">
        <f>IF(D707="","",IFERROR(INDEX(Referensi!$J$5:$J$30,MATCH(D707,Referensi!$I$5:$I$30,0)),"?"))</f>
        <v/>
      </c>
      <c r="G707" s="38" t="n"/>
      <c r="H707" s="38" t="n"/>
      <c r="I707" s="38" t="n"/>
      <c r="J707" s="38" t="n"/>
    </row>
    <row r="708" ht="15" customHeight="1" s="33">
      <c r="A708" s="57">
        <f>IF(B708="","",ROW()-4)</f>
        <v/>
      </c>
      <c r="B708" s="58" t="n"/>
      <c r="C708" s="38" t="n"/>
      <c r="D708" s="38" t="n"/>
      <c r="E708" s="41" t="n"/>
      <c r="F708" s="57">
        <f>IF(D708="","",IFERROR(INDEX(Referensi!$J$5:$J$30,MATCH(D708,Referensi!$I$5:$I$30,0)),"?"))</f>
        <v/>
      </c>
      <c r="G708" s="38" t="n"/>
      <c r="H708" s="38" t="n"/>
      <c r="I708" s="38" t="n"/>
      <c r="J708" s="38" t="n"/>
    </row>
    <row r="709" ht="15" customHeight="1" s="33">
      <c r="A709" s="57">
        <f>IF(B709="","",ROW()-4)</f>
        <v/>
      </c>
      <c r="B709" s="58" t="n"/>
      <c r="C709" s="38" t="n"/>
      <c r="D709" s="38" t="n"/>
      <c r="E709" s="41" t="n"/>
      <c r="F709" s="57">
        <f>IF(D709="","",IFERROR(INDEX(Referensi!$J$5:$J$30,MATCH(D709,Referensi!$I$5:$I$30,0)),"?"))</f>
        <v/>
      </c>
      <c r="G709" s="38" t="n"/>
      <c r="H709" s="38" t="n"/>
      <c r="I709" s="38" t="n"/>
      <c r="J709" s="38" t="n"/>
    </row>
    <row r="710" ht="15" customHeight="1" s="33">
      <c r="A710" s="57">
        <f>IF(B710="","",ROW()-4)</f>
        <v/>
      </c>
      <c r="B710" s="58" t="n"/>
      <c r="C710" s="38" t="n"/>
      <c r="D710" s="38" t="n"/>
      <c r="E710" s="41" t="n"/>
      <c r="F710" s="57">
        <f>IF(D710="","",IFERROR(INDEX(Referensi!$J$5:$J$30,MATCH(D710,Referensi!$I$5:$I$30,0)),"?"))</f>
        <v/>
      </c>
      <c r="G710" s="38" t="n"/>
      <c r="H710" s="38" t="n"/>
      <c r="I710" s="38" t="n"/>
      <c r="J710" s="38" t="n"/>
    </row>
    <row r="711" ht="15" customHeight="1" s="33">
      <c r="A711" s="57">
        <f>IF(B711="","",ROW()-4)</f>
        <v/>
      </c>
      <c r="B711" s="58" t="n"/>
      <c r="C711" s="38" t="n"/>
      <c r="D711" s="38" t="n"/>
      <c r="E711" s="41" t="n"/>
      <c r="F711" s="57">
        <f>IF(D711="","",IFERROR(INDEX(Referensi!$J$5:$J$30,MATCH(D711,Referensi!$I$5:$I$30,0)),"?"))</f>
        <v/>
      </c>
      <c r="G711" s="38" t="n"/>
      <c r="H711" s="38" t="n"/>
      <c r="I711" s="38" t="n"/>
      <c r="J711" s="38" t="n"/>
    </row>
    <row r="712" ht="15" customHeight="1" s="33">
      <c r="A712" s="57">
        <f>IF(B712="","",ROW()-4)</f>
        <v/>
      </c>
      <c r="B712" s="58" t="n"/>
      <c r="C712" s="38" t="n"/>
      <c r="D712" s="38" t="n"/>
      <c r="E712" s="41" t="n"/>
      <c r="F712" s="57">
        <f>IF(D712="","",IFERROR(INDEX(Referensi!$J$5:$J$30,MATCH(D712,Referensi!$I$5:$I$30,0)),"?"))</f>
        <v/>
      </c>
      <c r="G712" s="38" t="n"/>
      <c r="H712" s="38" t="n"/>
      <c r="I712" s="38" t="n"/>
      <c r="J712" s="38" t="n"/>
    </row>
    <row r="713" ht="15" customHeight="1" s="33">
      <c r="A713" s="57">
        <f>IF(B713="","",ROW()-4)</f>
        <v/>
      </c>
      <c r="B713" s="58" t="n"/>
      <c r="C713" s="38" t="n"/>
      <c r="D713" s="38" t="n"/>
      <c r="E713" s="41" t="n"/>
      <c r="F713" s="57">
        <f>IF(D713="","",IFERROR(INDEX(Referensi!$J$5:$J$30,MATCH(D713,Referensi!$I$5:$I$30,0)),"?"))</f>
        <v/>
      </c>
      <c r="G713" s="38" t="n"/>
      <c r="H713" s="38" t="n"/>
      <c r="I713" s="38" t="n"/>
      <c r="J713" s="38" t="n"/>
    </row>
    <row r="714" ht="15" customHeight="1" s="33">
      <c r="A714" s="57">
        <f>IF(B714="","",ROW()-4)</f>
        <v/>
      </c>
      <c r="B714" s="58" t="n"/>
      <c r="C714" s="38" t="n"/>
      <c r="D714" s="38" t="n"/>
      <c r="E714" s="41" t="n"/>
      <c r="F714" s="57">
        <f>IF(D714="","",IFERROR(INDEX(Referensi!$J$5:$J$30,MATCH(D714,Referensi!$I$5:$I$30,0)),"?"))</f>
        <v/>
      </c>
      <c r="G714" s="38" t="n"/>
      <c r="H714" s="38" t="n"/>
      <c r="I714" s="38" t="n"/>
      <c r="J714" s="38" t="n"/>
    </row>
    <row r="715" ht="15" customHeight="1" s="33">
      <c r="A715" s="57">
        <f>IF(B715="","",ROW()-4)</f>
        <v/>
      </c>
      <c r="B715" s="58" t="n"/>
      <c r="C715" s="38" t="n"/>
      <c r="D715" s="38" t="n"/>
      <c r="E715" s="41" t="n"/>
      <c r="F715" s="57">
        <f>IF(D715="","",IFERROR(INDEX(Referensi!$J$5:$J$30,MATCH(D715,Referensi!$I$5:$I$30,0)),"?"))</f>
        <v/>
      </c>
      <c r="G715" s="38" t="n"/>
      <c r="H715" s="38" t="n"/>
      <c r="I715" s="38" t="n"/>
      <c r="J715" s="38" t="n"/>
    </row>
    <row r="716" ht="15" customHeight="1" s="33">
      <c r="A716" s="57">
        <f>IF(B716="","",ROW()-4)</f>
        <v/>
      </c>
      <c r="B716" s="58" t="n"/>
      <c r="C716" s="38" t="n"/>
      <c r="D716" s="38" t="n"/>
      <c r="E716" s="41" t="n"/>
      <c r="F716" s="57">
        <f>IF(D716="","",IFERROR(INDEX(Referensi!$J$5:$J$30,MATCH(D716,Referensi!$I$5:$I$30,0)),"?"))</f>
        <v/>
      </c>
      <c r="G716" s="38" t="n"/>
      <c r="H716" s="38" t="n"/>
      <c r="I716" s="38" t="n"/>
      <c r="J716" s="38" t="n"/>
    </row>
    <row r="717" ht="15" customHeight="1" s="33">
      <c r="A717" s="57">
        <f>IF(B717="","",ROW()-4)</f>
        <v/>
      </c>
      <c r="B717" s="58" t="n"/>
      <c r="C717" s="38" t="n"/>
      <c r="D717" s="38" t="n"/>
      <c r="E717" s="41" t="n"/>
      <c r="F717" s="57">
        <f>IF(D717="","",IFERROR(INDEX(Referensi!$J$5:$J$30,MATCH(D717,Referensi!$I$5:$I$30,0)),"?"))</f>
        <v/>
      </c>
      <c r="G717" s="38" t="n"/>
      <c r="H717" s="38" t="n"/>
      <c r="I717" s="38" t="n"/>
      <c r="J717" s="38" t="n"/>
    </row>
    <row r="718" ht="15" customHeight="1" s="33">
      <c r="A718" s="57">
        <f>IF(B718="","",ROW()-4)</f>
        <v/>
      </c>
      <c r="B718" s="58" t="n"/>
      <c r="C718" s="38" t="n"/>
      <c r="D718" s="38" t="n"/>
      <c r="E718" s="41" t="n"/>
      <c r="F718" s="57">
        <f>IF(D718="","",IFERROR(INDEX(Referensi!$J$5:$J$30,MATCH(D718,Referensi!$I$5:$I$30,0)),"?"))</f>
        <v/>
      </c>
      <c r="G718" s="38" t="n"/>
      <c r="H718" s="38" t="n"/>
      <c r="I718" s="38" t="n"/>
      <c r="J718" s="38" t="n"/>
    </row>
    <row r="719" ht="15" customHeight="1" s="33">
      <c r="A719" s="57">
        <f>IF(B719="","",ROW()-4)</f>
        <v/>
      </c>
      <c r="B719" s="58" t="n"/>
      <c r="C719" s="38" t="n"/>
      <c r="D719" s="38" t="n"/>
      <c r="E719" s="41" t="n"/>
      <c r="F719" s="57">
        <f>IF(D719="","",IFERROR(INDEX(Referensi!$J$5:$J$30,MATCH(D719,Referensi!$I$5:$I$30,0)),"?"))</f>
        <v/>
      </c>
      <c r="G719" s="38" t="n"/>
      <c r="H719" s="38" t="n"/>
      <c r="I719" s="38" t="n"/>
      <c r="J719" s="38" t="n"/>
    </row>
    <row r="720" ht="15" customHeight="1" s="33">
      <c r="A720" s="57">
        <f>IF(B720="","",ROW()-4)</f>
        <v/>
      </c>
      <c r="B720" s="58" t="n"/>
      <c r="C720" s="38" t="n"/>
      <c r="D720" s="38" t="n"/>
      <c r="E720" s="41" t="n"/>
      <c r="F720" s="57">
        <f>IF(D720="","",IFERROR(INDEX(Referensi!$J$5:$J$30,MATCH(D720,Referensi!$I$5:$I$30,0)),"?"))</f>
        <v/>
      </c>
      <c r="G720" s="38" t="n"/>
      <c r="H720" s="38" t="n"/>
      <c r="I720" s="38" t="n"/>
      <c r="J720" s="38" t="n"/>
    </row>
    <row r="721" ht="15" customHeight="1" s="33">
      <c r="A721" s="57">
        <f>IF(B721="","",ROW()-4)</f>
        <v/>
      </c>
      <c r="B721" s="58" t="n"/>
      <c r="C721" s="38" t="n"/>
      <c r="D721" s="38" t="n"/>
      <c r="E721" s="41" t="n"/>
      <c r="F721" s="57">
        <f>IF(D721="","",IFERROR(INDEX(Referensi!$J$5:$J$30,MATCH(D721,Referensi!$I$5:$I$30,0)),"?"))</f>
        <v/>
      </c>
      <c r="G721" s="38" t="n"/>
      <c r="H721" s="38" t="n"/>
      <c r="I721" s="38" t="n"/>
      <c r="J721" s="38" t="n"/>
    </row>
    <row r="722" ht="15" customHeight="1" s="33">
      <c r="A722" s="57">
        <f>IF(B722="","",ROW()-4)</f>
        <v/>
      </c>
      <c r="B722" s="58" t="n"/>
      <c r="C722" s="38" t="n"/>
      <c r="D722" s="38" t="n"/>
      <c r="E722" s="41" t="n"/>
      <c r="F722" s="57">
        <f>IF(D722="","",IFERROR(INDEX(Referensi!$J$5:$J$30,MATCH(D722,Referensi!$I$5:$I$30,0)),"?"))</f>
        <v/>
      </c>
      <c r="G722" s="38" t="n"/>
      <c r="H722" s="38" t="n"/>
      <c r="I722" s="38" t="n"/>
      <c r="J722" s="38" t="n"/>
    </row>
    <row r="723" ht="15" customHeight="1" s="33">
      <c r="A723" s="57">
        <f>IF(B723="","",ROW()-4)</f>
        <v/>
      </c>
      <c r="B723" s="58" t="n"/>
      <c r="C723" s="38" t="n"/>
      <c r="D723" s="38" t="n"/>
      <c r="E723" s="41" t="n"/>
      <c r="F723" s="57">
        <f>IF(D723="","",IFERROR(INDEX(Referensi!$J$5:$J$30,MATCH(D723,Referensi!$I$5:$I$30,0)),"?"))</f>
        <v/>
      </c>
      <c r="G723" s="38" t="n"/>
      <c r="H723" s="38" t="n"/>
      <c r="I723" s="38" t="n"/>
      <c r="J723" s="38" t="n"/>
    </row>
    <row r="724" ht="15" customHeight="1" s="33">
      <c r="A724" s="57">
        <f>IF(B724="","",ROW()-4)</f>
        <v/>
      </c>
      <c r="B724" s="58" t="n"/>
      <c r="C724" s="38" t="n"/>
      <c r="D724" s="38" t="n"/>
      <c r="E724" s="41" t="n"/>
      <c r="F724" s="57">
        <f>IF(D724="","",IFERROR(INDEX(Referensi!$J$5:$J$30,MATCH(D724,Referensi!$I$5:$I$30,0)),"?"))</f>
        <v/>
      </c>
      <c r="G724" s="38" t="n"/>
      <c r="H724" s="38" t="n"/>
      <c r="I724" s="38" t="n"/>
      <c r="J724" s="38" t="n"/>
    </row>
    <row r="725" ht="15" customHeight="1" s="33">
      <c r="A725" s="57">
        <f>IF(B725="","",ROW()-4)</f>
        <v/>
      </c>
      <c r="B725" s="58" t="n"/>
      <c r="C725" s="38" t="n"/>
      <c r="D725" s="38" t="n"/>
      <c r="E725" s="41" t="n"/>
      <c r="F725" s="57">
        <f>IF(D725="","",IFERROR(INDEX(Referensi!$J$5:$J$30,MATCH(D725,Referensi!$I$5:$I$30,0)),"?"))</f>
        <v/>
      </c>
      <c r="G725" s="38" t="n"/>
      <c r="H725" s="38" t="n"/>
      <c r="I725" s="38" t="n"/>
      <c r="J725" s="38" t="n"/>
    </row>
    <row r="726" ht="15" customHeight="1" s="33">
      <c r="A726" s="57">
        <f>IF(B726="","",ROW()-4)</f>
        <v/>
      </c>
      <c r="B726" s="58" t="n"/>
      <c r="C726" s="38" t="n"/>
      <c r="D726" s="38" t="n"/>
      <c r="E726" s="41" t="n"/>
      <c r="F726" s="57">
        <f>IF(D726="","",IFERROR(INDEX(Referensi!$J$5:$J$30,MATCH(D726,Referensi!$I$5:$I$30,0)),"?"))</f>
        <v/>
      </c>
      <c r="G726" s="38" t="n"/>
      <c r="H726" s="38" t="n"/>
      <c r="I726" s="38" t="n"/>
      <c r="J726" s="38" t="n"/>
    </row>
    <row r="727" ht="15" customHeight="1" s="33">
      <c r="A727" s="57">
        <f>IF(B727="","",ROW()-4)</f>
        <v/>
      </c>
      <c r="B727" s="58" t="n"/>
      <c r="C727" s="38" t="n"/>
      <c r="D727" s="38" t="n"/>
      <c r="E727" s="41" t="n"/>
      <c r="F727" s="57">
        <f>IF(D727="","",IFERROR(INDEX(Referensi!$J$5:$J$30,MATCH(D727,Referensi!$I$5:$I$30,0)),"?"))</f>
        <v/>
      </c>
      <c r="G727" s="38" t="n"/>
      <c r="H727" s="38" t="n"/>
      <c r="I727" s="38" t="n"/>
      <c r="J727" s="38" t="n"/>
    </row>
    <row r="728" ht="15" customHeight="1" s="33">
      <c r="A728" s="57">
        <f>IF(B728="","",ROW()-4)</f>
        <v/>
      </c>
      <c r="B728" s="58" t="n"/>
      <c r="C728" s="38" t="n"/>
      <c r="D728" s="38" t="n"/>
      <c r="E728" s="41" t="n"/>
      <c r="F728" s="57">
        <f>IF(D728="","",IFERROR(INDEX(Referensi!$J$5:$J$30,MATCH(D728,Referensi!$I$5:$I$30,0)),"?"))</f>
        <v/>
      </c>
      <c r="G728" s="38" t="n"/>
      <c r="H728" s="38" t="n"/>
      <c r="I728" s="38" t="n"/>
      <c r="J728" s="38" t="n"/>
    </row>
    <row r="729" ht="15" customHeight="1" s="33">
      <c r="A729" s="57">
        <f>IF(B729="","",ROW()-4)</f>
        <v/>
      </c>
      <c r="B729" s="58" t="n"/>
      <c r="C729" s="38" t="n"/>
      <c r="D729" s="38" t="n"/>
      <c r="E729" s="41" t="n"/>
      <c r="F729" s="57">
        <f>IF(D729="","",IFERROR(INDEX(Referensi!$J$5:$J$30,MATCH(D729,Referensi!$I$5:$I$30,0)),"?"))</f>
        <v/>
      </c>
      <c r="G729" s="38" t="n"/>
      <c r="H729" s="38" t="n"/>
      <c r="I729" s="38" t="n"/>
      <c r="J729" s="38" t="n"/>
    </row>
    <row r="730" ht="15" customHeight="1" s="33">
      <c r="A730" s="57">
        <f>IF(B730="","",ROW()-4)</f>
        <v/>
      </c>
      <c r="B730" s="58" t="n"/>
      <c r="C730" s="38" t="n"/>
      <c r="D730" s="38" t="n"/>
      <c r="E730" s="41" t="n"/>
      <c r="F730" s="57">
        <f>IF(D730="","",IFERROR(INDEX(Referensi!$J$5:$J$30,MATCH(D730,Referensi!$I$5:$I$30,0)),"?"))</f>
        <v/>
      </c>
      <c r="G730" s="38" t="n"/>
      <c r="H730" s="38" t="n"/>
      <c r="I730" s="38" t="n"/>
      <c r="J730" s="38" t="n"/>
    </row>
    <row r="731" ht="15" customHeight="1" s="33">
      <c r="A731" s="57">
        <f>IF(B731="","",ROW()-4)</f>
        <v/>
      </c>
      <c r="B731" s="58" t="n"/>
      <c r="C731" s="38" t="n"/>
      <c r="D731" s="38" t="n"/>
      <c r="E731" s="41" t="n"/>
      <c r="F731" s="57">
        <f>IF(D731="","",IFERROR(INDEX(Referensi!$J$5:$J$30,MATCH(D731,Referensi!$I$5:$I$30,0)),"?"))</f>
        <v/>
      </c>
      <c r="G731" s="38" t="n"/>
      <c r="H731" s="38" t="n"/>
      <c r="I731" s="38" t="n"/>
      <c r="J731" s="38" t="n"/>
    </row>
    <row r="732" ht="15" customHeight="1" s="33">
      <c r="A732" s="57">
        <f>IF(B732="","",ROW()-4)</f>
        <v/>
      </c>
      <c r="B732" s="58" t="n"/>
      <c r="C732" s="38" t="n"/>
      <c r="D732" s="38" t="n"/>
      <c r="E732" s="41" t="n"/>
      <c r="F732" s="57">
        <f>IF(D732="","",IFERROR(INDEX(Referensi!$J$5:$J$30,MATCH(D732,Referensi!$I$5:$I$30,0)),"?"))</f>
        <v/>
      </c>
      <c r="G732" s="38" t="n"/>
      <c r="H732" s="38" t="n"/>
      <c r="I732" s="38" t="n"/>
      <c r="J732" s="38" t="n"/>
    </row>
    <row r="733" ht="15" customHeight="1" s="33">
      <c r="A733" s="57">
        <f>IF(B733="","",ROW()-4)</f>
        <v/>
      </c>
      <c r="B733" s="58" t="n"/>
      <c r="C733" s="38" t="n"/>
      <c r="D733" s="38" t="n"/>
      <c r="E733" s="41" t="n"/>
      <c r="F733" s="57">
        <f>IF(D733="","",IFERROR(INDEX(Referensi!$J$5:$J$30,MATCH(D733,Referensi!$I$5:$I$30,0)),"?"))</f>
        <v/>
      </c>
      <c r="G733" s="38" t="n"/>
      <c r="H733" s="38" t="n"/>
      <c r="I733" s="38" t="n"/>
      <c r="J733" s="38" t="n"/>
    </row>
    <row r="734" ht="15" customHeight="1" s="33">
      <c r="A734" s="57">
        <f>IF(B734="","",ROW()-4)</f>
        <v/>
      </c>
      <c r="B734" s="58" t="n"/>
      <c r="C734" s="38" t="n"/>
      <c r="D734" s="38" t="n"/>
      <c r="E734" s="41" t="n"/>
      <c r="F734" s="57">
        <f>IF(D734="","",IFERROR(INDEX(Referensi!$J$5:$J$30,MATCH(D734,Referensi!$I$5:$I$30,0)),"?"))</f>
        <v/>
      </c>
      <c r="G734" s="38" t="n"/>
      <c r="H734" s="38" t="n"/>
      <c r="I734" s="38" t="n"/>
      <c r="J734" s="38" t="n"/>
    </row>
    <row r="735" ht="15" customHeight="1" s="33">
      <c r="A735" s="57">
        <f>IF(B735="","",ROW()-4)</f>
        <v/>
      </c>
      <c r="B735" s="58" t="n"/>
      <c r="C735" s="38" t="n"/>
      <c r="D735" s="38" t="n"/>
      <c r="E735" s="41" t="n"/>
      <c r="F735" s="57">
        <f>IF(D735="","",IFERROR(INDEX(Referensi!$J$5:$J$30,MATCH(D735,Referensi!$I$5:$I$30,0)),"?"))</f>
        <v/>
      </c>
      <c r="G735" s="38" t="n"/>
      <c r="H735" s="38" t="n"/>
      <c r="I735" s="38" t="n"/>
      <c r="J735" s="38" t="n"/>
    </row>
    <row r="736" ht="15" customHeight="1" s="33">
      <c r="A736" s="57">
        <f>IF(B736="","",ROW()-4)</f>
        <v/>
      </c>
      <c r="B736" s="58" t="n"/>
      <c r="C736" s="38" t="n"/>
      <c r="D736" s="38" t="n"/>
      <c r="E736" s="41" t="n"/>
      <c r="F736" s="57">
        <f>IF(D736="","",IFERROR(INDEX(Referensi!$J$5:$J$30,MATCH(D736,Referensi!$I$5:$I$30,0)),"?"))</f>
        <v/>
      </c>
      <c r="G736" s="38" t="n"/>
      <c r="H736" s="38" t="n"/>
      <c r="I736" s="38" t="n"/>
      <c r="J736" s="38" t="n"/>
    </row>
    <row r="737" ht="15" customHeight="1" s="33">
      <c r="A737" s="57">
        <f>IF(B737="","",ROW()-4)</f>
        <v/>
      </c>
      <c r="B737" s="58" t="n"/>
      <c r="C737" s="38" t="n"/>
      <c r="D737" s="38" t="n"/>
      <c r="E737" s="41" t="n"/>
      <c r="F737" s="57">
        <f>IF(D737="","",IFERROR(INDEX(Referensi!$J$5:$J$30,MATCH(D737,Referensi!$I$5:$I$30,0)),"?"))</f>
        <v/>
      </c>
      <c r="G737" s="38" t="n"/>
      <c r="H737" s="38" t="n"/>
      <c r="I737" s="38" t="n"/>
      <c r="J737" s="38" t="n"/>
    </row>
    <row r="738" ht="15" customHeight="1" s="33">
      <c r="A738" s="57">
        <f>IF(B738="","",ROW()-4)</f>
        <v/>
      </c>
      <c r="B738" s="58" t="n"/>
      <c r="C738" s="38" t="n"/>
      <c r="D738" s="38" t="n"/>
      <c r="E738" s="41" t="n"/>
      <c r="F738" s="57">
        <f>IF(D738="","",IFERROR(INDEX(Referensi!$J$5:$J$30,MATCH(D738,Referensi!$I$5:$I$30,0)),"?"))</f>
        <v/>
      </c>
      <c r="G738" s="38" t="n"/>
      <c r="H738" s="38" t="n"/>
      <c r="I738" s="38" t="n"/>
      <c r="J738" s="38" t="n"/>
    </row>
    <row r="739" ht="15" customHeight="1" s="33">
      <c r="A739" s="57">
        <f>IF(B739="","",ROW()-4)</f>
        <v/>
      </c>
      <c r="B739" s="58" t="n"/>
      <c r="C739" s="38" t="n"/>
      <c r="D739" s="38" t="n"/>
      <c r="E739" s="41" t="n"/>
      <c r="F739" s="57">
        <f>IF(D739="","",IFERROR(INDEX(Referensi!$J$5:$J$30,MATCH(D739,Referensi!$I$5:$I$30,0)),"?"))</f>
        <v/>
      </c>
      <c r="G739" s="38" t="n"/>
      <c r="H739" s="38" t="n"/>
      <c r="I739" s="38" t="n"/>
      <c r="J739" s="38" t="n"/>
    </row>
    <row r="740" ht="15" customHeight="1" s="33">
      <c r="A740" s="57">
        <f>IF(B740="","",ROW()-4)</f>
        <v/>
      </c>
      <c r="B740" s="58" t="n"/>
      <c r="C740" s="38" t="n"/>
      <c r="D740" s="38" t="n"/>
      <c r="E740" s="41" t="n"/>
      <c r="F740" s="57">
        <f>IF(D740="","",IFERROR(INDEX(Referensi!$J$5:$J$30,MATCH(D740,Referensi!$I$5:$I$30,0)),"?"))</f>
        <v/>
      </c>
      <c r="G740" s="38" t="n"/>
      <c r="H740" s="38" t="n"/>
      <c r="I740" s="38" t="n"/>
      <c r="J740" s="38" t="n"/>
    </row>
    <row r="741" ht="15" customHeight="1" s="33">
      <c r="A741" s="57">
        <f>IF(B741="","",ROW()-4)</f>
        <v/>
      </c>
      <c r="B741" s="58" t="n"/>
      <c r="C741" s="38" t="n"/>
      <c r="D741" s="38" t="n"/>
      <c r="E741" s="41" t="n"/>
      <c r="F741" s="57">
        <f>IF(D741="","",IFERROR(INDEX(Referensi!$J$5:$J$30,MATCH(D741,Referensi!$I$5:$I$30,0)),"?"))</f>
        <v/>
      </c>
      <c r="G741" s="38" t="n"/>
      <c r="H741" s="38" t="n"/>
      <c r="I741" s="38" t="n"/>
      <c r="J741" s="38" t="n"/>
    </row>
    <row r="742" ht="15" customHeight="1" s="33">
      <c r="A742" s="57">
        <f>IF(B742="","",ROW()-4)</f>
        <v/>
      </c>
      <c r="B742" s="58" t="n"/>
      <c r="C742" s="38" t="n"/>
      <c r="D742" s="38" t="n"/>
      <c r="E742" s="41" t="n"/>
      <c r="F742" s="57">
        <f>IF(D742="","",IFERROR(INDEX(Referensi!$J$5:$J$30,MATCH(D742,Referensi!$I$5:$I$30,0)),"?"))</f>
        <v/>
      </c>
      <c r="G742" s="38" t="n"/>
      <c r="H742" s="38" t="n"/>
      <c r="I742" s="38" t="n"/>
      <c r="J742" s="38" t="n"/>
    </row>
    <row r="743" ht="15" customHeight="1" s="33">
      <c r="A743" s="57">
        <f>IF(B743="","",ROW()-4)</f>
        <v/>
      </c>
      <c r="B743" s="58" t="n"/>
      <c r="C743" s="38" t="n"/>
      <c r="D743" s="38" t="n"/>
      <c r="E743" s="41" t="n"/>
      <c r="F743" s="57">
        <f>IF(D743="","",IFERROR(INDEX(Referensi!$J$5:$J$30,MATCH(D743,Referensi!$I$5:$I$30,0)),"?"))</f>
        <v/>
      </c>
      <c r="G743" s="38" t="n"/>
      <c r="H743" s="38" t="n"/>
      <c r="I743" s="38" t="n"/>
      <c r="J743" s="38" t="n"/>
    </row>
    <row r="744" ht="15" customHeight="1" s="33">
      <c r="A744" s="57">
        <f>IF(B744="","",ROW()-4)</f>
        <v/>
      </c>
      <c r="B744" s="58" t="n"/>
      <c r="C744" s="38" t="n"/>
      <c r="D744" s="38" t="n"/>
      <c r="E744" s="41" t="n"/>
      <c r="F744" s="57">
        <f>IF(D744="","",IFERROR(INDEX(Referensi!$J$5:$J$30,MATCH(D744,Referensi!$I$5:$I$30,0)),"?"))</f>
        <v/>
      </c>
      <c r="G744" s="38" t="n"/>
      <c r="H744" s="38" t="n"/>
      <c r="I744" s="38" t="n"/>
      <c r="J744" s="38" t="n"/>
    </row>
    <row r="745" ht="15" customHeight="1" s="33">
      <c r="A745" s="57">
        <f>IF(B745="","",ROW()-4)</f>
        <v/>
      </c>
      <c r="B745" s="58" t="n"/>
      <c r="C745" s="38" t="n"/>
      <c r="D745" s="38" t="n"/>
      <c r="E745" s="41" t="n"/>
      <c r="F745" s="57">
        <f>IF(D745="","",IFERROR(INDEX(Referensi!$J$5:$J$30,MATCH(D745,Referensi!$I$5:$I$30,0)),"?"))</f>
        <v/>
      </c>
      <c r="G745" s="38" t="n"/>
      <c r="H745" s="38" t="n"/>
      <c r="I745" s="38" t="n"/>
      <c r="J745" s="38" t="n"/>
    </row>
    <row r="746" ht="15" customHeight="1" s="33">
      <c r="A746" s="57">
        <f>IF(B746="","",ROW()-4)</f>
        <v/>
      </c>
      <c r="B746" s="58" t="n"/>
      <c r="C746" s="38" t="n"/>
      <c r="D746" s="38" t="n"/>
      <c r="E746" s="41" t="n"/>
      <c r="F746" s="57">
        <f>IF(D746="","",IFERROR(INDEX(Referensi!$J$5:$J$30,MATCH(D746,Referensi!$I$5:$I$30,0)),"?"))</f>
        <v/>
      </c>
      <c r="G746" s="38" t="n"/>
      <c r="H746" s="38" t="n"/>
      <c r="I746" s="38" t="n"/>
      <c r="J746" s="38" t="n"/>
    </row>
    <row r="747" ht="15" customHeight="1" s="33">
      <c r="A747" s="57">
        <f>IF(B747="","",ROW()-4)</f>
        <v/>
      </c>
      <c r="B747" s="58" t="n"/>
      <c r="C747" s="38" t="n"/>
      <c r="D747" s="38" t="n"/>
      <c r="E747" s="41" t="n"/>
      <c r="F747" s="57">
        <f>IF(D747="","",IFERROR(INDEX(Referensi!$J$5:$J$30,MATCH(D747,Referensi!$I$5:$I$30,0)),"?"))</f>
        <v/>
      </c>
      <c r="G747" s="38" t="n"/>
      <c r="H747" s="38" t="n"/>
      <c r="I747" s="38" t="n"/>
      <c r="J747" s="38" t="n"/>
    </row>
    <row r="748" ht="15" customHeight="1" s="33">
      <c r="A748" s="57">
        <f>IF(B748="","",ROW()-4)</f>
        <v/>
      </c>
      <c r="B748" s="58" t="n"/>
      <c r="C748" s="38" t="n"/>
      <c r="D748" s="38" t="n"/>
      <c r="E748" s="41" t="n"/>
      <c r="F748" s="57">
        <f>IF(D748="","",IFERROR(INDEX(Referensi!$J$5:$J$30,MATCH(D748,Referensi!$I$5:$I$30,0)),"?"))</f>
        <v/>
      </c>
      <c r="G748" s="38" t="n"/>
      <c r="H748" s="38" t="n"/>
      <c r="I748" s="38" t="n"/>
      <c r="J748" s="38" t="n"/>
    </row>
    <row r="749" ht="15" customHeight="1" s="33">
      <c r="A749" s="57">
        <f>IF(B749="","",ROW()-4)</f>
        <v/>
      </c>
      <c r="B749" s="58" t="n"/>
      <c r="C749" s="38" t="n"/>
      <c r="D749" s="38" t="n"/>
      <c r="E749" s="41" t="n"/>
      <c r="F749" s="57">
        <f>IF(D749="","",IFERROR(INDEX(Referensi!$J$5:$J$30,MATCH(D749,Referensi!$I$5:$I$30,0)),"?"))</f>
        <v/>
      </c>
      <c r="G749" s="38" t="n"/>
      <c r="H749" s="38" t="n"/>
      <c r="I749" s="38" t="n"/>
      <c r="J749" s="38" t="n"/>
    </row>
    <row r="750" ht="15" customHeight="1" s="33">
      <c r="A750" s="57">
        <f>IF(B750="","",ROW()-4)</f>
        <v/>
      </c>
      <c r="B750" s="58" t="n"/>
      <c r="C750" s="38" t="n"/>
      <c r="D750" s="38" t="n"/>
      <c r="E750" s="41" t="n"/>
      <c r="F750" s="57">
        <f>IF(D750="","",IFERROR(INDEX(Referensi!$J$5:$J$30,MATCH(D750,Referensi!$I$5:$I$30,0)),"?"))</f>
        <v/>
      </c>
      <c r="G750" s="38" t="n"/>
      <c r="H750" s="38" t="n"/>
      <c r="I750" s="38" t="n"/>
      <c r="J750" s="38" t="n"/>
    </row>
    <row r="751" ht="15" customHeight="1" s="33">
      <c r="A751" s="57">
        <f>IF(B751="","",ROW()-4)</f>
        <v/>
      </c>
      <c r="B751" s="58" t="n"/>
      <c r="C751" s="38" t="n"/>
      <c r="D751" s="38" t="n"/>
      <c r="E751" s="41" t="n"/>
      <c r="F751" s="57">
        <f>IF(D751="","",IFERROR(INDEX(Referensi!$J$5:$J$30,MATCH(D751,Referensi!$I$5:$I$30,0)),"?"))</f>
        <v/>
      </c>
      <c r="G751" s="38" t="n"/>
      <c r="H751" s="38" t="n"/>
      <c r="I751" s="38" t="n"/>
      <c r="J751" s="38" t="n"/>
    </row>
    <row r="752" ht="15" customHeight="1" s="33">
      <c r="A752" s="57">
        <f>IF(B752="","",ROW()-4)</f>
        <v/>
      </c>
      <c r="B752" s="58" t="n"/>
      <c r="C752" s="38" t="n"/>
      <c r="D752" s="38" t="n"/>
      <c r="E752" s="41" t="n"/>
      <c r="F752" s="57">
        <f>IF(D752="","",IFERROR(INDEX(Referensi!$J$5:$J$30,MATCH(D752,Referensi!$I$5:$I$30,0)),"?"))</f>
        <v/>
      </c>
      <c r="G752" s="38" t="n"/>
      <c r="H752" s="38" t="n"/>
      <c r="I752" s="38" t="n"/>
      <c r="J752" s="38" t="n"/>
    </row>
    <row r="753" ht="15" customHeight="1" s="33">
      <c r="A753" s="57">
        <f>IF(B753="","",ROW()-4)</f>
        <v/>
      </c>
      <c r="B753" s="58" t="n"/>
      <c r="C753" s="38" t="n"/>
      <c r="D753" s="38" t="n"/>
      <c r="E753" s="41" t="n"/>
      <c r="F753" s="57">
        <f>IF(D753="","",IFERROR(INDEX(Referensi!$J$5:$J$30,MATCH(D753,Referensi!$I$5:$I$30,0)),"?"))</f>
        <v/>
      </c>
      <c r="G753" s="38" t="n"/>
      <c r="H753" s="38" t="n"/>
      <c r="I753" s="38" t="n"/>
      <c r="J753" s="38" t="n"/>
    </row>
    <row r="754" ht="15" customHeight="1" s="33">
      <c r="A754" s="57">
        <f>IF(B754="","",ROW()-4)</f>
        <v/>
      </c>
      <c r="B754" s="58" t="n"/>
      <c r="C754" s="38" t="n"/>
      <c r="D754" s="38" t="n"/>
      <c r="E754" s="41" t="n"/>
      <c r="F754" s="57">
        <f>IF(D754="","",IFERROR(INDEX(Referensi!$J$5:$J$30,MATCH(D754,Referensi!$I$5:$I$30,0)),"?"))</f>
        <v/>
      </c>
      <c r="G754" s="38" t="n"/>
      <c r="H754" s="38" t="n"/>
      <c r="I754" s="38" t="n"/>
      <c r="J754" s="38" t="n"/>
    </row>
    <row r="755" ht="15" customHeight="1" s="33">
      <c r="A755" s="57">
        <f>IF(B755="","",ROW()-4)</f>
        <v/>
      </c>
      <c r="B755" s="58" t="n"/>
      <c r="C755" s="38" t="n"/>
      <c r="D755" s="38" t="n"/>
      <c r="E755" s="41" t="n"/>
      <c r="F755" s="57">
        <f>IF(D755="","",IFERROR(INDEX(Referensi!$J$5:$J$30,MATCH(D755,Referensi!$I$5:$I$30,0)),"?"))</f>
        <v/>
      </c>
      <c r="G755" s="38" t="n"/>
      <c r="H755" s="38" t="n"/>
      <c r="I755" s="38" t="n"/>
      <c r="J755" s="38" t="n"/>
    </row>
    <row r="756" ht="15" customHeight="1" s="33">
      <c r="A756" s="57">
        <f>IF(B756="","",ROW()-4)</f>
        <v/>
      </c>
      <c r="B756" s="58" t="n"/>
      <c r="C756" s="38" t="n"/>
      <c r="D756" s="38" t="n"/>
      <c r="E756" s="41" t="n"/>
      <c r="F756" s="57">
        <f>IF(D756="","",IFERROR(INDEX(Referensi!$J$5:$J$30,MATCH(D756,Referensi!$I$5:$I$30,0)),"?"))</f>
        <v/>
      </c>
      <c r="G756" s="38" t="n"/>
      <c r="H756" s="38" t="n"/>
      <c r="I756" s="38" t="n"/>
      <c r="J756" s="38" t="n"/>
    </row>
    <row r="757" ht="15" customHeight="1" s="33">
      <c r="A757" s="57">
        <f>IF(B757="","",ROW()-4)</f>
        <v/>
      </c>
      <c r="B757" s="58" t="n"/>
      <c r="C757" s="38" t="n"/>
      <c r="D757" s="38" t="n"/>
      <c r="E757" s="41" t="n"/>
      <c r="F757" s="57">
        <f>IF(D757="","",IFERROR(INDEX(Referensi!$J$5:$J$30,MATCH(D757,Referensi!$I$5:$I$30,0)),"?"))</f>
        <v/>
      </c>
      <c r="G757" s="38" t="n"/>
      <c r="H757" s="38" t="n"/>
      <c r="I757" s="38" t="n"/>
      <c r="J757" s="38" t="n"/>
    </row>
    <row r="758" ht="15" customHeight="1" s="33">
      <c r="A758" s="57">
        <f>IF(B758="","",ROW()-4)</f>
        <v/>
      </c>
      <c r="B758" s="58" t="n"/>
      <c r="C758" s="38" t="n"/>
      <c r="D758" s="38" t="n"/>
      <c r="E758" s="41" t="n"/>
      <c r="F758" s="57">
        <f>IF(D758="","",IFERROR(INDEX(Referensi!$J$5:$J$30,MATCH(D758,Referensi!$I$5:$I$30,0)),"?"))</f>
        <v/>
      </c>
      <c r="G758" s="38" t="n"/>
      <c r="H758" s="38" t="n"/>
      <c r="I758" s="38" t="n"/>
      <c r="J758" s="38" t="n"/>
    </row>
    <row r="759" ht="15" customHeight="1" s="33">
      <c r="A759" s="57">
        <f>IF(B759="","",ROW()-4)</f>
        <v/>
      </c>
      <c r="B759" s="58" t="n"/>
      <c r="C759" s="38" t="n"/>
      <c r="D759" s="38" t="n"/>
      <c r="E759" s="41" t="n"/>
      <c r="F759" s="57">
        <f>IF(D759="","",IFERROR(INDEX(Referensi!$J$5:$J$30,MATCH(D759,Referensi!$I$5:$I$30,0)),"?"))</f>
        <v/>
      </c>
      <c r="G759" s="38" t="n"/>
      <c r="H759" s="38" t="n"/>
      <c r="I759" s="38" t="n"/>
      <c r="J759" s="38" t="n"/>
    </row>
    <row r="760" ht="15" customHeight="1" s="33">
      <c r="A760" s="57">
        <f>IF(B760="","",ROW()-4)</f>
        <v/>
      </c>
      <c r="B760" s="58" t="n"/>
      <c r="C760" s="38" t="n"/>
      <c r="D760" s="38" t="n"/>
      <c r="E760" s="41" t="n"/>
      <c r="F760" s="57">
        <f>IF(D760="","",IFERROR(INDEX(Referensi!$J$5:$J$30,MATCH(D760,Referensi!$I$5:$I$30,0)),"?"))</f>
        <v/>
      </c>
      <c r="G760" s="38" t="n"/>
      <c r="H760" s="38" t="n"/>
      <c r="I760" s="38" t="n"/>
      <c r="J760" s="38" t="n"/>
    </row>
    <row r="761" ht="15" customHeight="1" s="33">
      <c r="A761" s="57">
        <f>IF(B761="","",ROW()-4)</f>
        <v/>
      </c>
      <c r="B761" s="58" t="n"/>
      <c r="C761" s="38" t="n"/>
      <c r="D761" s="38" t="n"/>
      <c r="E761" s="41" t="n"/>
      <c r="F761" s="57">
        <f>IF(D761="","",IFERROR(INDEX(Referensi!$J$5:$J$30,MATCH(D761,Referensi!$I$5:$I$30,0)),"?"))</f>
        <v/>
      </c>
      <c r="G761" s="38" t="n"/>
      <c r="H761" s="38" t="n"/>
      <c r="I761" s="38" t="n"/>
      <c r="J761" s="38" t="n"/>
    </row>
    <row r="762" ht="15" customHeight="1" s="33">
      <c r="A762" s="57">
        <f>IF(B762="","",ROW()-4)</f>
        <v/>
      </c>
      <c r="B762" s="58" t="n"/>
      <c r="C762" s="38" t="n"/>
      <c r="D762" s="38" t="n"/>
      <c r="E762" s="41" t="n"/>
      <c r="F762" s="57">
        <f>IF(D762="","",IFERROR(INDEX(Referensi!$J$5:$J$30,MATCH(D762,Referensi!$I$5:$I$30,0)),"?"))</f>
        <v/>
      </c>
      <c r="G762" s="38" t="n"/>
      <c r="H762" s="38" t="n"/>
      <c r="I762" s="38" t="n"/>
      <c r="J762" s="38" t="n"/>
    </row>
    <row r="763" ht="15" customHeight="1" s="33">
      <c r="A763" s="57">
        <f>IF(B763="","",ROW()-4)</f>
        <v/>
      </c>
      <c r="B763" s="58" t="n"/>
      <c r="C763" s="38" t="n"/>
      <c r="D763" s="38" t="n"/>
      <c r="E763" s="41" t="n"/>
      <c r="F763" s="57">
        <f>IF(D763="","",IFERROR(INDEX(Referensi!$J$5:$J$30,MATCH(D763,Referensi!$I$5:$I$30,0)),"?"))</f>
        <v/>
      </c>
      <c r="G763" s="38" t="n"/>
      <c r="H763" s="38" t="n"/>
      <c r="I763" s="38" t="n"/>
      <c r="J763" s="38" t="n"/>
    </row>
    <row r="764" ht="15" customHeight="1" s="33">
      <c r="A764" s="57">
        <f>IF(B764="","",ROW()-4)</f>
        <v/>
      </c>
      <c r="B764" s="58" t="n"/>
      <c r="C764" s="38" t="n"/>
      <c r="D764" s="38" t="n"/>
      <c r="E764" s="41" t="n"/>
      <c r="F764" s="57">
        <f>IF(D764="","",IFERROR(INDEX(Referensi!$J$5:$J$30,MATCH(D764,Referensi!$I$5:$I$30,0)),"?"))</f>
        <v/>
      </c>
      <c r="G764" s="38" t="n"/>
      <c r="H764" s="38" t="n"/>
      <c r="I764" s="38" t="n"/>
      <c r="J764" s="38" t="n"/>
    </row>
    <row r="765" ht="15" customHeight="1" s="33">
      <c r="A765" s="57">
        <f>IF(B765="","",ROW()-4)</f>
        <v/>
      </c>
      <c r="B765" s="58" t="n"/>
      <c r="C765" s="38" t="n"/>
      <c r="D765" s="38" t="n"/>
      <c r="E765" s="41" t="n"/>
      <c r="F765" s="57">
        <f>IF(D765="","",IFERROR(INDEX(Referensi!$J$5:$J$30,MATCH(D765,Referensi!$I$5:$I$30,0)),"?"))</f>
        <v/>
      </c>
      <c r="G765" s="38" t="n"/>
      <c r="H765" s="38" t="n"/>
      <c r="I765" s="38" t="n"/>
      <c r="J765" s="38" t="n"/>
    </row>
    <row r="766" ht="15" customHeight="1" s="33">
      <c r="A766" s="57">
        <f>IF(B766="","",ROW()-4)</f>
        <v/>
      </c>
      <c r="B766" s="58" t="n"/>
      <c r="C766" s="38" t="n"/>
      <c r="D766" s="38" t="n"/>
      <c r="E766" s="41" t="n"/>
      <c r="F766" s="57">
        <f>IF(D766="","",IFERROR(INDEX(Referensi!$J$5:$J$30,MATCH(D766,Referensi!$I$5:$I$30,0)),"?"))</f>
        <v/>
      </c>
      <c r="G766" s="38" t="n"/>
      <c r="H766" s="38" t="n"/>
      <c r="I766" s="38" t="n"/>
      <c r="J766" s="38" t="n"/>
    </row>
    <row r="767" ht="15" customHeight="1" s="33">
      <c r="A767" s="57">
        <f>IF(B767="","",ROW()-4)</f>
        <v/>
      </c>
      <c r="B767" s="58" t="n"/>
      <c r="C767" s="38" t="n"/>
      <c r="D767" s="38" t="n"/>
      <c r="E767" s="41" t="n"/>
      <c r="F767" s="57">
        <f>IF(D767="","",IFERROR(INDEX(Referensi!$J$5:$J$30,MATCH(D767,Referensi!$I$5:$I$30,0)),"?"))</f>
        <v/>
      </c>
      <c r="G767" s="38" t="n"/>
      <c r="H767" s="38" t="n"/>
      <c r="I767" s="38" t="n"/>
      <c r="J767" s="38" t="n"/>
    </row>
    <row r="768" ht="15" customHeight="1" s="33">
      <c r="A768" s="57">
        <f>IF(B768="","",ROW()-4)</f>
        <v/>
      </c>
      <c r="B768" s="58" t="n"/>
      <c r="C768" s="38" t="n"/>
      <c r="D768" s="38" t="n"/>
      <c r="E768" s="41" t="n"/>
      <c r="F768" s="57">
        <f>IF(D768="","",IFERROR(INDEX(Referensi!$J$5:$J$30,MATCH(D768,Referensi!$I$5:$I$30,0)),"?"))</f>
        <v/>
      </c>
      <c r="G768" s="38" t="n"/>
      <c r="H768" s="38" t="n"/>
      <c r="I768" s="38" t="n"/>
      <c r="J768" s="38" t="n"/>
    </row>
    <row r="769" ht="15" customHeight="1" s="33">
      <c r="A769" s="57">
        <f>IF(B769="","",ROW()-4)</f>
        <v/>
      </c>
      <c r="B769" s="58" t="n"/>
      <c r="C769" s="38" t="n"/>
      <c r="D769" s="38" t="n"/>
      <c r="E769" s="41" t="n"/>
      <c r="F769" s="57">
        <f>IF(D769="","",IFERROR(INDEX(Referensi!$J$5:$J$30,MATCH(D769,Referensi!$I$5:$I$30,0)),"?"))</f>
        <v/>
      </c>
      <c r="G769" s="38" t="n"/>
      <c r="H769" s="38" t="n"/>
      <c r="I769" s="38" t="n"/>
      <c r="J769" s="38" t="n"/>
    </row>
    <row r="770" ht="15" customHeight="1" s="33">
      <c r="A770" s="57">
        <f>IF(B770="","",ROW()-4)</f>
        <v/>
      </c>
      <c r="B770" s="58" t="n"/>
      <c r="C770" s="38" t="n"/>
      <c r="D770" s="38" t="n"/>
      <c r="E770" s="41" t="n"/>
      <c r="F770" s="57">
        <f>IF(D770="","",IFERROR(INDEX(Referensi!$J$5:$J$30,MATCH(D770,Referensi!$I$5:$I$30,0)),"?"))</f>
        <v/>
      </c>
      <c r="G770" s="38" t="n"/>
      <c r="H770" s="38" t="n"/>
      <c r="I770" s="38" t="n"/>
      <c r="J770" s="38" t="n"/>
    </row>
    <row r="771" ht="15" customHeight="1" s="33">
      <c r="A771" s="57">
        <f>IF(B771="","",ROW()-4)</f>
        <v/>
      </c>
      <c r="B771" s="58" t="n"/>
      <c r="C771" s="38" t="n"/>
      <c r="D771" s="38" t="n"/>
      <c r="E771" s="41" t="n"/>
      <c r="F771" s="57">
        <f>IF(D771="","",IFERROR(INDEX(Referensi!$J$5:$J$30,MATCH(D771,Referensi!$I$5:$I$30,0)),"?"))</f>
        <v/>
      </c>
      <c r="G771" s="38" t="n"/>
      <c r="H771" s="38" t="n"/>
      <c r="I771" s="38" t="n"/>
      <c r="J771" s="38" t="n"/>
    </row>
    <row r="772" ht="15" customHeight="1" s="33">
      <c r="A772" s="57">
        <f>IF(B772="","",ROW()-4)</f>
        <v/>
      </c>
      <c r="B772" s="58" t="n"/>
      <c r="C772" s="38" t="n"/>
      <c r="D772" s="38" t="n"/>
      <c r="E772" s="41" t="n"/>
      <c r="F772" s="57">
        <f>IF(D772="","",IFERROR(INDEX(Referensi!$J$5:$J$30,MATCH(D772,Referensi!$I$5:$I$30,0)),"?"))</f>
        <v/>
      </c>
      <c r="G772" s="38" t="n"/>
      <c r="H772" s="38" t="n"/>
      <c r="I772" s="38" t="n"/>
      <c r="J772" s="38" t="n"/>
    </row>
    <row r="773" ht="15" customHeight="1" s="33">
      <c r="A773" s="57">
        <f>IF(B773="","",ROW()-4)</f>
        <v/>
      </c>
      <c r="B773" s="58" t="n"/>
      <c r="C773" s="38" t="n"/>
      <c r="D773" s="38" t="n"/>
      <c r="E773" s="41" t="n"/>
      <c r="F773" s="57">
        <f>IF(D773="","",IFERROR(INDEX(Referensi!$J$5:$J$30,MATCH(D773,Referensi!$I$5:$I$30,0)),"?"))</f>
        <v/>
      </c>
      <c r="G773" s="38" t="n"/>
      <c r="H773" s="38" t="n"/>
      <c r="I773" s="38" t="n"/>
      <c r="J773" s="38" t="n"/>
    </row>
    <row r="774" ht="15" customHeight="1" s="33">
      <c r="A774" s="57">
        <f>IF(B774="","",ROW()-4)</f>
        <v/>
      </c>
      <c r="B774" s="58" t="n"/>
      <c r="C774" s="38" t="n"/>
      <c r="D774" s="38" t="n"/>
      <c r="E774" s="41" t="n"/>
      <c r="F774" s="57">
        <f>IF(D774="","",IFERROR(INDEX(Referensi!$J$5:$J$30,MATCH(D774,Referensi!$I$5:$I$30,0)),"?"))</f>
        <v/>
      </c>
      <c r="G774" s="38" t="n"/>
      <c r="H774" s="38" t="n"/>
      <c r="I774" s="38" t="n"/>
      <c r="J774" s="38" t="n"/>
    </row>
    <row r="775" ht="15" customHeight="1" s="33">
      <c r="A775" s="57">
        <f>IF(B775="","",ROW()-4)</f>
        <v/>
      </c>
      <c r="B775" s="58" t="n"/>
      <c r="C775" s="38" t="n"/>
      <c r="D775" s="38" t="n"/>
      <c r="E775" s="41" t="n"/>
      <c r="F775" s="57">
        <f>IF(D775="","",IFERROR(INDEX(Referensi!$J$5:$J$30,MATCH(D775,Referensi!$I$5:$I$30,0)),"?"))</f>
        <v/>
      </c>
      <c r="G775" s="38" t="n"/>
      <c r="H775" s="38" t="n"/>
      <c r="I775" s="38" t="n"/>
      <c r="J775" s="38" t="n"/>
    </row>
    <row r="776" ht="15" customHeight="1" s="33">
      <c r="A776" s="57">
        <f>IF(B776="","",ROW()-4)</f>
        <v/>
      </c>
      <c r="B776" s="58" t="n"/>
      <c r="C776" s="38" t="n"/>
      <c r="D776" s="38" t="n"/>
      <c r="E776" s="41" t="n"/>
      <c r="F776" s="57">
        <f>IF(D776="","",IFERROR(INDEX(Referensi!$J$5:$J$30,MATCH(D776,Referensi!$I$5:$I$30,0)),"?"))</f>
        <v/>
      </c>
      <c r="G776" s="38" t="n"/>
      <c r="H776" s="38" t="n"/>
      <c r="I776" s="38" t="n"/>
      <c r="J776" s="38" t="n"/>
    </row>
    <row r="777" ht="15" customHeight="1" s="33">
      <c r="A777" s="57">
        <f>IF(B777="","",ROW()-4)</f>
        <v/>
      </c>
      <c r="B777" s="58" t="n"/>
      <c r="C777" s="38" t="n"/>
      <c r="D777" s="38" t="n"/>
      <c r="E777" s="41" t="n"/>
      <c r="F777" s="57">
        <f>IF(D777="","",IFERROR(INDEX(Referensi!$J$5:$J$30,MATCH(D777,Referensi!$I$5:$I$30,0)),"?"))</f>
        <v/>
      </c>
      <c r="G777" s="38" t="n"/>
      <c r="H777" s="38" t="n"/>
      <c r="I777" s="38" t="n"/>
      <c r="J777" s="38" t="n"/>
    </row>
    <row r="778" ht="15" customHeight="1" s="33">
      <c r="A778" s="57">
        <f>IF(B778="","",ROW()-4)</f>
        <v/>
      </c>
      <c r="B778" s="58" t="n"/>
      <c r="C778" s="38" t="n"/>
      <c r="D778" s="38" t="n"/>
      <c r="E778" s="41" t="n"/>
      <c r="F778" s="57">
        <f>IF(D778="","",IFERROR(INDEX(Referensi!$J$5:$J$30,MATCH(D778,Referensi!$I$5:$I$30,0)),"?"))</f>
        <v/>
      </c>
      <c r="G778" s="38" t="n"/>
      <c r="H778" s="38" t="n"/>
      <c r="I778" s="38" t="n"/>
      <c r="J778" s="38" t="n"/>
    </row>
    <row r="779" ht="15" customHeight="1" s="33">
      <c r="A779" s="57">
        <f>IF(B779="","",ROW()-4)</f>
        <v/>
      </c>
      <c r="B779" s="58" t="n"/>
      <c r="C779" s="38" t="n"/>
      <c r="D779" s="38" t="n"/>
      <c r="E779" s="41" t="n"/>
      <c r="F779" s="57">
        <f>IF(D779="","",IFERROR(INDEX(Referensi!$J$5:$J$30,MATCH(D779,Referensi!$I$5:$I$30,0)),"?"))</f>
        <v/>
      </c>
      <c r="G779" s="38" t="n"/>
      <c r="H779" s="38" t="n"/>
      <c r="I779" s="38" t="n"/>
      <c r="J779" s="38" t="n"/>
    </row>
    <row r="780" ht="15" customHeight="1" s="33">
      <c r="A780" s="57">
        <f>IF(B780="","",ROW()-4)</f>
        <v/>
      </c>
      <c r="B780" s="58" t="n"/>
      <c r="C780" s="38" t="n"/>
      <c r="D780" s="38" t="n"/>
      <c r="E780" s="41" t="n"/>
      <c r="F780" s="57">
        <f>IF(D780="","",IFERROR(INDEX(Referensi!$J$5:$J$30,MATCH(D780,Referensi!$I$5:$I$30,0)),"?"))</f>
        <v/>
      </c>
      <c r="G780" s="38" t="n"/>
      <c r="H780" s="38" t="n"/>
      <c r="I780" s="38" t="n"/>
      <c r="J780" s="38" t="n"/>
    </row>
    <row r="781" ht="15" customHeight="1" s="33">
      <c r="A781" s="57">
        <f>IF(B781="","",ROW()-4)</f>
        <v/>
      </c>
      <c r="B781" s="58" t="n"/>
      <c r="C781" s="38" t="n"/>
      <c r="D781" s="38" t="n"/>
      <c r="E781" s="41" t="n"/>
      <c r="F781" s="57">
        <f>IF(D781="","",IFERROR(INDEX(Referensi!$J$5:$J$30,MATCH(D781,Referensi!$I$5:$I$30,0)),"?"))</f>
        <v/>
      </c>
      <c r="G781" s="38" t="n"/>
      <c r="H781" s="38" t="n"/>
      <c r="I781" s="38" t="n"/>
      <c r="J781" s="38" t="n"/>
    </row>
    <row r="782" ht="15" customHeight="1" s="33">
      <c r="A782" s="57">
        <f>IF(B782="","",ROW()-4)</f>
        <v/>
      </c>
      <c r="B782" s="58" t="n"/>
      <c r="C782" s="38" t="n"/>
      <c r="D782" s="38" t="n"/>
      <c r="E782" s="41" t="n"/>
      <c r="F782" s="57">
        <f>IF(D782="","",IFERROR(INDEX(Referensi!$J$5:$J$30,MATCH(D782,Referensi!$I$5:$I$30,0)),"?"))</f>
        <v/>
      </c>
      <c r="G782" s="38" t="n"/>
      <c r="H782" s="38" t="n"/>
      <c r="I782" s="38" t="n"/>
      <c r="J782" s="38" t="n"/>
    </row>
    <row r="783" ht="15" customHeight="1" s="33">
      <c r="A783" s="57">
        <f>IF(B783="","",ROW()-4)</f>
        <v/>
      </c>
      <c r="B783" s="58" t="n"/>
      <c r="C783" s="38" t="n"/>
      <c r="D783" s="38" t="n"/>
      <c r="E783" s="41" t="n"/>
      <c r="F783" s="57">
        <f>IF(D783="","",IFERROR(INDEX(Referensi!$J$5:$J$30,MATCH(D783,Referensi!$I$5:$I$30,0)),"?"))</f>
        <v/>
      </c>
      <c r="G783" s="38" t="n"/>
      <c r="H783" s="38" t="n"/>
      <c r="I783" s="38" t="n"/>
      <c r="J783" s="38" t="n"/>
    </row>
    <row r="784" ht="15" customHeight="1" s="33">
      <c r="A784" s="57">
        <f>IF(B784="","",ROW()-4)</f>
        <v/>
      </c>
      <c r="B784" s="58" t="n"/>
      <c r="C784" s="38" t="n"/>
      <c r="D784" s="38" t="n"/>
      <c r="E784" s="41" t="n"/>
      <c r="F784" s="57">
        <f>IF(D784="","",IFERROR(INDEX(Referensi!$J$5:$J$30,MATCH(D784,Referensi!$I$5:$I$30,0)),"?"))</f>
        <v/>
      </c>
      <c r="G784" s="38" t="n"/>
      <c r="H784" s="38" t="n"/>
      <c r="I784" s="38" t="n"/>
      <c r="J784" s="38" t="n"/>
    </row>
    <row r="785" ht="15" customHeight="1" s="33">
      <c r="A785" s="57">
        <f>IF(B785="","",ROW()-4)</f>
        <v/>
      </c>
      <c r="B785" s="58" t="n"/>
      <c r="C785" s="38" t="n"/>
      <c r="D785" s="38" t="n"/>
      <c r="E785" s="41" t="n"/>
      <c r="F785" s="57">
        <f>IF(D785="","",IFERROR(INDEX(Referensi!$J$5:$J$30,MATCH(D785,Referensi!$I$5:$I$30,0)),"?"))</f>
        <v/>
      </c>
      <c r="G785" s="38" t="n"/>
      <c r="H785" s="38" t="n"/>
      <c r="I785" s="38" t="n"/>
      <c r="J785" s="38" t="n"/>
    </row>
    <row r="786" ht="15" customHeight="1" s="33">
      <c r="A786" s="57">
        <f>IF(B786="","",ROW()-4)</f>
        <v/>
      </c>
      <c r="B786" s="58" t="n"/>
      <c r="C786" s="38" t="n"/>
      <c r="D786" s="38" t="n"/>
      <c r="E786" s="41" t="n"/>
      <c r="F786" s="57">
        <f>IF(D786="","",IFERROR(INDEX(Referensi!$J$5:$J$30,MATCH(D786,Referensi!$I$5:$I$30,0)),"?"))</f>
        <v/>
      </c>
      <c r="G786" s="38" t="n"/>
      <c r="H786" s="38" t="n"/>
      <c r="I786" s="38" t="n"/>
      <c r="J786" s="38" t="n"/>
    </row>
    <row r="787" ht="15" customHeight="1" s="33">
      <c r="A787" s="57">
        <f>IF(B787="","",ROW()-4)</f>
        <v/>
      </c>
      <c r="B787" s="58" t="n"/>
      <c r="C787" s="38" t="n"/>
      <c r="D787" s="38" t="n"/>
      <c r="E787" s="41" t="n"/>
      <c r="F787" s="57">
        <f>IF(D787="","",IFERROR(INDEX(Referensi!$J$5:$J$30,MATCH(D787,Referensi!$I$5:$I$30,0)),"?"))</f>
        <v/>
      </c>
      <c r="G787" s="38" t="n"/>
      <c r="H787" s="38" t="n"/>
      <c r="I787" s="38" t="n"/>
      <c r="J787" s="38" t="n"/>
    </row>
    <row r="788" ht="15" customHeight="1" s="33">
      <c r="A788" s="57">
        <f>IF(B788="","",ROW()-4)</f>
        <v/>
      </c>
      <c r="B788" s="58" t="n"/>
      <c r="C788" s="38" t="n"/>
      <c r="D788" s="38" t="n"/>
      <c r="E788" s="41" t="n"/>
      <c r="F788" s="57">
        <f>IF(D788="","",IFERROR(INDEX(Referensi!$J$5:$J$30,MATCH(D788,Referensi!$I$5:$I$30,0)),"?"))</f>
        <v/>
      </c>
      <c r="G788" s="38" t="n"/>
      <c r="H788" s="38" t="n"/>
      <c r="I788" s="38" t="n"/>
      <c r="J788" s="38" t="n"/>
    </row>
    <row r="789" ht="15" customHeight="1" s="33">
      <c r="A789" s="57">
        <f>IF(B789="","",ROW()-4)</f>
        <v/>
      </c>
      <c r="B789" s="58" t="n"/>
      <c r="C789" s="38" t="n"/>
      <c r="D789" s="38" t="n"/>
      <c r="E789" s="41" t="n"/>
      <c r="F789" s="57">
        <f>IF(D789="","",IFERROR(INDEX(Referensi!$J$5:$J$30,MATCH(D789,Referensi!$I$5:$I$30,0)),"?"))</f>
        <v/>
      </c>
      <c r="G789" s="38" t="n"/>
      <c r="H789" s="38" t="n"/>
      <c r="I789" s="38" t="n"/>
      <c r="J789" s="38" t="n"/>
    </row>
    <row r="790" ht="15" customHeight="1" s="33">
      <c r="A790" s="57">
        <f>IF(B790="","",ROW()-4)</f>
        <v/>
      </c>
      <c r="B790" s="58" t="n"/>
      <c r="C790" s="38" t="n"/>
      <c r="D790" s="38" t="n"/>
      <c r="E790" s="41" t="n"/>
      <c r="F790" s="57">
        <f>IF(D790="","",IFERROR(INDEX(Referensi!$J$5:$J$30,MATCH(D790,Referensi!$I$5:$I$30,0)),"?"))</f>
        <v/>
      </c>
      <c r="G790" s="38" t="n"/>
      <c r="H790" s="38" t="n"/>
      <c r="I790" s="38" t="n"/>
      <c r="J790" s="38" t="n"/>
    </row>
    <row r="791" ht="15" customHeight="1" s="33">
      <c r="A791" s="57">
        <f>IF(B791="","",ROW()-4)</f>
        <v/>
      </c>
      <c r="B791" s="58" t="n"/>
      <c r="C791" s="38" t="n"/>
      <c r="D791" s="38" t="n"/>
      <c r="E791" s="41" t="n"/>
      <c r="F791" s="57">
        <f>IF(D791="","",IFERROR(INDEX(Referensi!$J$5:$J$30,MATCH(D791,Referensi!$I$5:$I$30,0)),"?"))</f>
        <v/>
      </c>
      <c r="G791" s="38" t="n"/>
      <c r="H791" s="38" t="n"/>
      <c r="I791" s="38" t="n"/>
      <c r="J791" s="38" t="n"/>
    </row>
    <row r="792" ht="15" customHeight="1" s="33">
      <c r="A792" s="57">
        <f>IF(B792="","",ROW()-4)</f>
        <v/>
      </c>
      <c r="B792" s="58" t="n"/>
      <c r="C792" s="38" t="n"/>
      <c r="D792" s="38" t="n"/>
      <c r="E792" s="41" t="n"/>
      <c r="F792" s="57">
        <f>IF(D792="","",IFERROR(INDEX(Referensi!$J$5:$J$30,MATCH(D792,Referensi!$I$5:$I$30,0)),"?"))</f>
        <v/>
      </c>
      <c r="G792" s="38" t="n"/>
      <c r="H792" s="38" t="n"/>
      <c r="I792" s="38" t="n"/>
      <c r="J792" s="38" t="n"/>
    </row>
    <row r="793" ht="15" customHeight="1" s="33">
      <c r="A793" s="57">
        <f>IF(B793="","",ROW()-4)</f>
        <v/>
      </c>
      <c r="B793" s="58" t="n"/>
      <c r="C793" s="38" t="n"/>
      <c r="D793" s="38" t="n"/>
      <c r="E793" s="41" t="n"/>
      <c r="F793" s="57">
        <f>IF(D793="","",IFERROR(INDEX(Referensi!$J$5:$J$30,MATCH(D793,Referensi!$I$5:$I$30,0)),"?"))</f>
        <v/>
      </c>
      <c r="G793" s="38" t="n"/>
      <c r="H793" s="38" t="n"/>
      <c r="I793" s="38" t="n"/>
      <c r="J793" s="38" t="n"/>
    </row>
    <row r="794" ht="15" customHeight="1" s="33">
      <c r="A794" s="57">
        <f>IF(B794="","",ROW()-4)</f>
        <v/>
      </c>
      <c r="B794" s="58" t="n"/>
      <c r="C794" s="38" t="n"/>
      <c r="D794" s="38" t="n"/>
      <c r="E794" s="41" t="n"/>
      <c r="F794" s="57">
        <f>IF(D794="","",IFERROR(INDEX(Referensi!$J$5:$J$30,MATCH(D794,Referensi!$I$5:$I$30,0)),"?"))</f>
        <v/>
      </c>
      <c r="G794" s="38" t="n"/>
      <c r="H794" s="38" t="n"/>
      <c r="I794" s="38" t="n"/>
      <c r="J794" s="38" t="n"/>
    </row>
    <row r="795" ht="15" customHeight="1" s="33">
      <c r="A795" s="57">
        <f>IF(B795="","",ROW()-4)</f>
        <v/>
      </c>
      <c r="B795" s="58" t="n"/>
      <c r="C795" s="38" t="n"/>
      <c r="D795" s="38" t="n"/>
      <c r="E795" s="41" t="n"/>
      <c r="F795" s="57">
        <f>IF(D795="","",IFERROR(INDEX(Referensi!$J$5:$J$30,MATCH(D795,Referensi!$I$5:$I$30,0)),"?"))</f>
        <v/>
      </c>
      <c r="G795" s="38" t="n"/>
      <c r="H795" s="38" t="n"/>
      <c r="I795" s="38" t="n"/>
      <c r="J795" s="38" t="n"/>
    </row>
    <row r="796" ht="15" customHeight="1" s="33">
      <c r="A796" s="57">
        <f>IF(B796="","",ROW()-4)</f>
        <v/>
      </c>
      <c r="B796" s="58" t="n"/>
      <c r="C796" s="38" t="n"/>
      <c r="D796" s="38" t="n"/>
      <c r="E796" s="41" t="n"/>
      <c r="F796" s="57">
        <f>IF(D796="","",IFERROR(INDEX(Referensi!$J$5:$J$30,MATCH(D796,Referensi!$I$5:$I$30,0)),"?"))</f>
        <v/>
      </c>
      <c r="G796" s="38" t="n"/>
      <c r="H796" s="38" t="n"/>
      <c r="I796" s="38" t="n"/>
      <c r="J796" s="38" t="n"/>
    </row>
    <row r="797" ht="15" customHeight="1" s="33">
      <c r="A797" s="57">
        <f>IF(B797="","",ROW()-4)</f>
        <v/>
      </c>
      <c r="B797" s="58" t="n"/>
      <c r="C797" s="38" t="n"/>
      <c r="D797" s="38" t="n"/>
      <c r="E797" s="41" t="n"/>
      <c r="F797" s="57">
        <f>IF(D797="","",IFERROR(INDEX(Referensi!$J$5:$J$30,MATCH(D797,Referensi!$I$5:$I$30,0)),"?"))</f>
        <v/>
      </c>
      <c r="G797" s="38" t="n"/>
      <c r="H797" s="38" t="n"/>
      <c r="I797" s="38" t="n"/>
      <c r="J797" s="38" t="n"/>
    </row>
    <row r="798" ht="15" customHeight="1" s="33">
      <c r="A798" s="57">
        <f>IF(B798="","",ROW()-4)</f>
        <v/>
      </c>
      <c r="B798" s="58" t="n"/>
      <c r="C798" s="38" t="n"/>
      <c r="D798" s="38" t="n"/>
      <c r="E798" s="41" t="n"/>
      <c r="F798" s="57">
        <f>IF(D798="","",IFERROR(INDEX(Referensi!$J$5:$J$30,MATCH(D798,Referensi!$I$5:$I$30,0)),"?"))</f>
        <v/>
      </c>
      <c r="G798" s="38" t="n"/>
      <c r="H798" s="38" t="n"/>
      <c r="I798" s="38" t="n"/>
      <c r="J798" s="38" t="n"/>
    </row>
    <row r="799" ht="15" customHeight="1" s="33">
      <c r="A799" s="57">
        <f>IF(B799="","",ROW()-4)</f>
        <v/>
      </c>
      <c r="B799" s="58" t="n"/>
      <c r="C799" s="38" t="n"/>
      <c r="D799" s="38" t="n"/>
      <c r="E799" s="41" t="n"/>
      <c r="F799" s="57">
        <f>IF(D799="","",IFERROR(INDEX(Referensi!$J$5:$J$30,MATCH(D799,Referensi!$I$5:$I$30,0)),"?"))</f>
        <v/>
      </c>
      <c r="G799" s="38" t="n"/>
      <c r="H799" s="38" t="n"/>
      <c r="I799" s="38" t="n"/>
      <c r="J799" s="38" t="n"/>
    </row>
    <row r="800" ht="15" customHeight="1" s="33">
      <c r="A800" s="57">
        <f>IF(B800="","",ROW()-4)</f>
        <v/>
      </c>
      <c r="B800" s="58" t="n"/>
      <c r="C800" s="38" t="n"/>
      <c r="D800" s="38" t="n"/>
      <c r="E800" s="41" t="n"/>
      <c r="F800" s="57">
        <f>IF(D800="","",IFERROR(INDEX(Referensi!$J$5:$J$30,MATCH(D800,Referensi!$I$5:$I$30,0)),"?"))</f>
        <v/>
      </c>
      <c r="G800" s="38" t="n"/>
      <c r="H800" s="38" t="n"/>
      <c r="I800" s="38" t="n"/>
      <c r="J800" s="38" t="n"/>
    </row>
    <row r="801" ht="15" customHeight="1" s="33">
      <c r="A801" s="57">
        <f>IF(B801="","",ROW()-4)</f>
        <v/>
      </c>
      <c r="B801" s="58" t="n"/>
      <c r="C801" s="38" t="n"/>
      <c r="D801" s="38" t="n"/>
      <c r="E801" s="41" t="n"/>
      <c r="F801" s="57">
        <f>IF(D801="","",IFERROR(INDEX(Referensi!$J$5:$J$30,MATCH(D801,Referensi!$I$5:$I$30,0)),"?"))</f>
        <v/>
      </c>
      <c r="G801" s="38" t="n"/>
      <c r="H801" s="38" t="n"/>
      <c r="I801" s="38" t="n"/>
      <c r="J801" s="38" t="n"/>
    </row>
    <row r="802" ht="15" customHeight="1" s="33">
      <c r="A802" s="57">
        <f>IF(B802="","",ROW()-4)</f>
        <v/>
      </c>
      <c r="B802" s="58" t="n"/>
      <c r="C802" s="38" t="n"/>
      <c r="D802" s="38" t="n"/>
      <c r="E802" s="41" t="n"/>
      <c r="F802" s="57">
        <f>IF(D802="","",IFERROR(INDEX(Referensi!$J$5:$J$30,MATCH(D802,Referensi!$I$5:$I$30,0)),"?"))</f>
        <v/>
      </c>
      <c r="G802" s="38" t="n"/>
      <c r="H802" s="38" t="n"/>
      <c r="I802" s="38" t="n"/>
      <c r="J802" s="38" t="n"/>
    </row>
    <row r="803" ht="15" customHeight="1" s="33">
      <c r="A803" s="57">
        <f>IF(B803="","",ROW()-4)</f>
        <v/>
      </c>
      <c r="B803" s="58" t="n"/>
      <c r="C803" s="38" t="n"/>
      <c r="D803" s="38" t="n"/>
      <c r="E803" s="41" t="n"/>
      <c r="F803" s="57">
        <f>IF(D803="","",IFERROR(INDEX(Referensi!$J$5:$J$30,MATCH(D803,Referensi!$I$5:$I$30,0)),"?"))</f>
        <v/>
      </c>
      <c r="G803" s="38" t="n"/>
      <c r="H803" s="38" t="n"/>
      <c r="I803" s="38" t="n"/>
      <c r="J803" s="38" t="n"/>
    </row>
    <row r="804" ht="15" customHeight="1" s="33">
      <c r="A804" s="57">
        <f>IF(B804="","",ROW()-4)</f>
        <v/>
      </c>
      <c r="B804" s="58" t="n"/>
      <c r="C804" s="38" t="n"/>
      <c r="D804" s="38" t="n"/>
      <c r="E804" s="41" t="n"/>
      <c r="F804" s="57">
        <f>IF(D804="","",IFERROR(INDEX(Referensi!$J$5:$J$30,MATCH(D804,Referensi!$I$5:$I$30,0)),"?"))</f>
        <v/>
      </c>
      <c r="G804" s="38" t="n"/>
      <c r="H804" s="38" t="n"/>
      <c r="I804" s="38" t="n"/>
      <c r="J804" s="38" t="n"/>
    </row>
    <row r="805" ht="15" customHeight="1" s="33">
      <c r="A805" s="57">
        <f>IF(B805="","",ROW()-4)</f>
        <v/>
      </c>
      <c r="B805" s="58" t="n"/>
      <c r="C805" s="38" t="n"/>
      <c r="D805" s="38" t="n"/>
      <c r="E805" s="41" t="n"/>
      <c r="F805" s="57">
        <f>IF(D805="","",IFERROR(INDEX(Referensi!$J$5:$J$30,MATCH(D805,Referensi!$I$5:$I$30,0)),"?"))</f>
        <v/>
      </c>
      <c r="G805" s="38" t="n"/>
      <c r="H805" s="38" t="n"/>
      <c r="I805" s="38" t="n"/>
      <c r="J805" s="38" t="n"/>
    </row>
    <row r="806" ht="15" customHeight="1" s="33">
      <c r="A806" s="57">
        <f>IF(B806="","",ROW()-4)</f>
        <v/>
      </c>
      <c r="B806" s="58" t="n"/>
      <c r="C806" s="38" t="n"/>
      <c r="D806" s="38" t="n"/>
      <c r="E806" s="41" t="n"/>
      <c r="F806" s="57">
        <f>IF(D806="","",IFERROR(INDEX(Referensi!$J$5:$J$30,MATCH(D806,Referensi!$I$5:$I$30,0)),"?"))</f>
        <v/>
      </c>
      <c r="G806" s="38" t="n"/>
      <c r="H806" s="38" t="n"/>
      <c r="I806" s="38" t="n"/>
      <c r="J806" s="38" t="n"/>
    </row>
    <row r="807" ht="15" customHeight="1" s="33">
      <c r="A807" s="57">
        <f>IF(B807="","",ROW()-4)</f>
        <v/>
      </c>
      <c r="B807" s="58" t="n"/>
      <c r="C807" s="38" t="n"/>
      <c r="D807" s="38" t="n"/>
      <c r="E807" s="41" t="n"/>
      <c r="F807" s="57">
        <f>IF(D807="","",IFERROR(INDEX(Referensi!$J$5:$J$30,MATCH(D807,Referensi!$I$5:$I$30,0)),"?"))</f>
        <v/>
      </c>
      <c r="G807" s="38" t="n"/>
      <c r="H807" s="38" t="n"/>
      <c r="I807" s="38" t="n"/>
      <c r="J807" s="38" t="n"/>
    </row>
    <row r="808" ht="15" customHeight="1" s="33">
      <c r="A808" s="57">
        <f>IF(B808="","",ROW()-4)</f>
        <v/>
      </c>
      <c r="B808" s="58" t="n"/>
      <c r="C808" s="38" t="n"/>
      <c r="D808" s="38" t="n"/>
      <c r="E808" s="41" t="n"/>
      <c r="F808" s="57">
        <f>IF(D808="","",IFERROR(INDEX(Referensi!$J$5:$J$30,MATCH(D808,Referensi!$I$5:$I$30,0)),"?"))</f>
        <v/>
      </c>
      <c r="G808" s="38" t="n"/>
      <c r="H808" s="38" t="n"/>
      <c r="I808" s="38" t="n"/>
      <c r="J808" s="38" t="n"/>
    </row>
    <row r="809" ht="15" customHeight="1" s="33">
      <c r="A809" s="57">
        <f>IF(B809="","",ROW()-4)</f>
        <v/>
      </c>
      <c r="B809" s="58" t="n"/>
      <c r="C809" s="38" t="n"/>
      <c r="D809" s="38" t="n"/>
      <c r="E809" s="41" t="n"/>
      <c r="F809" s="57">
        <f>IF(D809="","",IFERROR(INDEX(Referensi!$J$5:$J$30,MATCH(D809,Referensi!$I$5:$I$30,0)),"?"))</f>
        <v/>
      </c>
      <c r="G809" s="38" t="n"/>
      <c r="H809" s="38" t="n"/>
      <c r="I809" s="38" t="n"/>
      <c r="J809" s="38" t="n"/>
    </row>
    <row r="810" ht="15" customHeight="1" s="33">
      <c r="A810" s="57">
        <f>IF(B810="","",ROW()-4)</f>
        <v/>
      </c>
      <c r="B810" s="58" t="n"/>
      <c r="C810" s="38" t="n"/>
      <c r="D810" s="38" t="n"/>
      <c r="E810" s="41" t="n"/>
      <c r="F810" s="57">
        <f>IF(D810="","",IFERROR(INDEX(Referensi!$J$5:$J$30,MATCH(D810,Referensi!$I$5:$I$30,0)),"?"))</f>
        <v/>
      </c>
      <c r="G810" s="38" t="n"/>
      <c r="H810" s="38" t="n"/>
      <c r="I810" s="38" t="n"/>
      <c r="J810" s="38" t="n"/>
    </row>
    <row r="811" ht="15" customHeight="1" s="33">
      <c r="A811" s="57">
        <f>IF(B811="","",ROW()-4)</f>
        <v/>
      </c>
      <c r="B811" s="58" t="n"/>
      <c r="C811" s="38" t="n"/>
      <c r="D811" s="38" t="n"/>
      <c r="E811" s="41" t="n"/>
      <c r="F811" s="57">
        <f>IF(D811="","",IFERROR(INDEX(Referensi!$J$5:$J$30,MATCH(D811,Referensi!$I$5:$I$30,0)),"?"))</f>
        <v/>
      </c>
      <c r="G811" s="38" t="n"/>
      <c r="H811" s="38" t="n"/>
      <c r="I811" s="38" t="n"/>
      <c r="J811" s="38" t="n"/>
    </row>
    <row r="812" ht="15" customHeight="1" s="33">
      <c r="A812" s="57">
        <f>IF(B812="","",ROW()-4)</f>
        <v/>
      </c>
      <c r="B812" s="58" t="n"/>
      <c r="C812" s="38" t="n"/>
      <c r="D812" s="38" t="n"/>
      <c r="E812" s="41" t="n"/>
      <c r="F812" s="57">
        <f>IF(D812="","",IFERROR(INDEX(Referensi!$J$5:$J$30,MATCH(D812,Referensi!$I$5:$I$30,0)),"?"))</f>
        <v/>
      </c>
      <c r="G812" s="38" t="n"/>
      <c r="H812" s="38" t="n"/>
      <c r="I812" s="38" t="n"/>
      <c r="J812" s="38" t="n"/>
    </row>
    <row r="813" ht="15" customHeight="1" s="33">
      <c r="A813" s="57">
        <f>IF(B813="","",ROW()-4)</f>
        <v/>
      </c>
      <c r="B813" s="58" t="n"/>
      <c r="C813" s="38" t="n"/>
      <c r="D813" s="38" t="n"/>
      <c r="E813" s="41" t="n"/>
      <c r="F813" s="57">
        <f>IF(D813="","",IFERROR(INDEX(Referensi!$J$5:$J$30,MATCH(D813,Referensi!$I$5:$I$30,0)),"?"))</f>
        <v/>
      </c>
      <c r="G813" s="38" t="n"/>
      <c r="H813" s="38" t="n"/>
      <c r="I813" s="38" t="n"/>
      <c r="J813" s="38" t="n"/>
    </row>
    <row r="814" ht="15" customHeight="1" s="33">
      <c r="A814" s="57">
        <f>IF(B814="","",ROW()-4)</f>
        <v/>
      </c>
      <c r="B814" s="58" t="n"/>
      <c r="C814" s="38" t="n"/>
      <c r="D814" s="38" t="n"/>
      <c r="E814" s="41" t="n"/>
      <c r="F814" s="57">
        <f>IF(D814="","",IFERROR(INDEX(Referensi!$J$5:$J$30,MATCH(D814,Referensi!$I$5:$I$30,0)),"?"))</f>
        <v/>
      </c>
      <c r="G814" s="38" t="n"/>
      <c r="H814" s="38" t="n"/>
      <c r="I814" s="38" t="n"/>
      <c r="J814" s="38" t="n"/>
    </row>
    <row r="815" ht="15" customHeight="1" s="33">
      <c r="A815" s="57">
        <f>IF(B815="","",ROW()-4)</f>
        <v/>
      </c>
      <c r="B815" s="58" t="n"/>
      <c r="C815" s="38" t="n"/>
      <c r="D815" s="38" t="n"/>
      <c r="E815" s="41" t="n"/>
      <c r="F815" s="57">
        <f>IF(D815="","",IFERROR(INDEX(Referensi!$J$5:$J$30,MATCH(D815,Referensi!$I$5:$I$30,0)),"?"))</f>
        <v/>
      </c>
      <c r="G815" s="38" t="n"/>
      <c r="H815" s="38" t="n"/>
      <c r="I815" s="38" t="n"/>
      <c r="J815" s="38" t="n"/>
    </row>
    <row r="816" ht="15" customHeight="1" s="33">
      <c r="A816" s="57">
        <f>IF(B816="","",ROW()-4)</f>
        <v/>
      </c>
      <c r="B816" s="58" t="n"/>
      <c r="C816" s="38" t="n"/>
      <c r="D816" s="38" t="n"/>
      <c r="E816" s="41" t="n"/>
      <c r="F816" s="57">
        <f>IF(D816="","",IFERROR(INDEX(Referensi!$J$5:$J$30,MATCH(D816,Referensi!$I$5:$I$30,0)),"?"))</f>
        <v/>
      </c>
      <c r="G816" s="38" t="n"/>
      <c r="H816" s="38" t="n"/>
      <c r="I816" s="38" t="n"/>
      <c r="J816" s="38" t="n"/>
    </row>
    <row r="817" ht="15" customHeight="1" s="33">
      <c r="A817" s="57">
        <f>IF(B817="","",ROW()-4)</f>
        <v/>
      </c>
      <c r="B817" s="58" t="n"/>
      <c r="C817" s="38" t="n"/>
      <c r="D817" s="38" t="n"/>
      <c r="E817" s="41" t="n"/>
      <c r="F817" s="57">
        <f>IF(D817="","",IFERROR(INDEX(Referensi!$J$5:$J$30,MATCH(D817,Referensi!$I$5:$I$30,0)),"?"))</f>
        <v/>
      </c>
      <c r="G817" s="38" t="n"/>
      <c r="H817" s="38" t="n"/>
      <c r="I817" s="38" t="n"/>
      <c r="J817" s="38" t="n"/>
    </row>
    <row r="818" ht="15" customHeight="1" s="33">
      <c r="A818" s="57">
        <f>IF(B818="","",ROW()-4)</f>
        <v/>
      </c>
      <c r="B818" s="58" t="n"/>
      <c r="C818" s="38" t="n"/>
      <c r="D818" s="38" t="n"/>
      <c r="E818" s="41" t="n"/>
      <c r="F818" s="57">
        <f>IF(D818="","",IFERROR(INDEX(Referensi!$J$5:$J$30,MATCH(D818,Referensi!$I$5:$I$30,0)),"?"))</f>
        <v/>
      </c>
      <c r="G818" s="38" t="n"/>
      <c r="H818" s="38" t="n"/>
      <c r="I818" s="38" t="n"/>
      <c r="J818" s="38" t="n"/>
    </row>
    <row r="819" ht="15" customHeight="1" s="33">
      <c r="A819" s="57">
        <f>IF(B819="","",ROW()-4)</f>
        <v/>
      </c>
      <c r="B819" s="58" t="n"/>
      <c r="C819" s="38" t="n"/>
      <c r="D819" s="38" t="n"/>
      <c r="E819" s="41" t="n"/>
      <c r="F819" s="57">
        <f>IF(D819="","",IFERROR(INDEX(Referensi!$J$5:$J$30,MATCH(D819,Referensi!$I$5:$I$30,0)),"?"))</f>
        <v/>
      </c>
      <c r="G819" s="38" t="n"/>
      <c r="H819" s="38" t="n"/>
      <c r="I819" s="38" t="n"/>
      <c r="J819" s="38" t="n"/>
    </row>
    <row r="820" ht="15" customHeight="1" s="33">
      <c r="A820" s="57">
        <f>IF(B820="","",ROW()-4)</f>
        <v/>
      </c>
      <c r="B820" s="58" t="n"/>
      <c r="C820" s="38" t="n"/>
      <c r="D820" s="38" t="n"/>
      <c r="E820" s="41" t="n"/>
      <c r="F820" s="57">
        <f>IF(D820="","",IFERROR(INDEX(Referensi!$J$5:$J$30,MATCH(D820,Referensi!$I$5:$I$30,0)),"?"))</f>
        <v/>
      </c>
      <c r="G820" s="38" t="n"/>
      <c r="H820" s="38" t="n"/>
      <c r="I820" s="38" t="n"/>
      <c r="J820" s="38" t="n"/>
    </row>
    <row r="821" ht="15" customHeight="1" s="33">
      <c r="A821" s="57">
        <f>IF(B821="","",ROW()-4)</f>
        <v/>
      </c>
      <c r="B821" s="58" t="n"/>
      <c r="C821" s="38" t="n"/>
      <c r="D821" s="38" t="n"/>
      <c r="E821" s="41" t="n"/>
      <c r="F821" s="57">
        <f>IF(D821="","",IFERROR(INDEX(Referensi!$J$5:$J$30,MATCH(D821,Referensi!$I$5:$I$30,0)),"?"))</f>
        <v/>
      </c>
      <c r="G821" s="38" t="n"/>
      <c r="H821" s="38" t="n"/>
      <c r="I821" s="38" t="n"/>
      <c r="J821" s="38" t="n"/>
    </row>
    <row r="822" ht="15" customHeight="1" s="33">
      <c r="A822" s="57">
        <f>IF(B822="","",ROW()-4)</f>
        <v/>
      </c>
      <c r="B822" s="58" t="n"/>
      <c r="C822" s="38" t="n"/>
      <c r="D822" s="38" t="n"/>
      <c r="E822" s="41" t="n"/>
      <c r="F822" s="57">
        <f>IF(D822="","",IFERROR(INDEX(Referensi!$J$5:$J$30,MATCH(D822,Referensi!$I$5:$I$30,0)),"?"))</f>
        <v/>
      </c>
      <c r="G822" s="38" t="n"/>
      <c r="H822" s="38" t="n"/>
      <c r="I822" s="38" t="n"/>
      <c r="J822" s="38" t="n"/>
    </row>
    <row r="823" ht="15" customHeight="1" s="33">
      <c r="A823" s="57">
        <f>IF(B823="","",ROW()-4)</f>
        <v/>
      </c>
      <c r="B823" s="58" t="n"/>
      <c r="C823" s="38" t="n"/>
      <c r="D823" s="38" t="n"/>
      <c r="E823" s="41" t="n"/>
      <c r="F823" s="57">
        <f>IF(D823="","",IFERROR(INDEX(Referensi!$J$5:$J$30,MATCH(D823,Referensi!$I$5:$I$30,0)),"?"))</f>
        <v/>
      </c>
      <c r="G823" s="38" t="n"/>
      <c r="H823" s="38" t="n"/>
      <c r="I823" s="38" t="n"/>
      <c r="J823" s="38" t="n"/>
    </row>
    <row r="824" ht="15" customHeight="1" s="33">
      <c r="A824" s="57">
        <f>IF(B824="","",ROW()-4)</f>
        <v/>
      </c>
      <c r="B824" s="58" t="n"/>
      <c r="C824" s="38" t="n"/>
      <c r="D824" s="38" t="n"/>
      <c r="E824" s="41" t="n"/>
      <c r="F824" s="57">
        <f>IF(D824="","",IFERROR(INDEX(Referensi!$J$5:$J$30,MATCH(D824,Referensi!$I$5:$I$30,0)),"?"))</f>
        <v/>
      </c>
      <c r="G824" s="38" t="n"/>
      <c r="H824" s="38" t="n"/>
      <c r="I824" s="38" t="n"/>
      <c r="J824" s="38" t="n"/>
    </row>
    <row r="825" ht="15" customHeight="1" s="33">
      <c r="A825" s="57">
        <f>IF(B825="","",ROW()-4)</f>
        <v/>
      </c>
      <c r="B825" s="58" t="n"/>
      <c r="C825" s="38" t="n"/>
      <c r="D825" s="38" t="n"/>
      <c r="E825" s="41" t="n"/>
      <c r="F825" s="57">
        <f>IF(D825="","",IFERROR(INDEX(Referensi!$J$5:$J$30,MATCH(D825,Referensi!$I$5:$I$30,0)),"?"))</f>
        <v/>
      </c>
      <c r="G825" s="38" t="n"/>
      <c r="H825" s="38" t="n"/>
      <c r="I825" s="38" t="n"/>
      <c r="J825" s="38" t="n"/>
    </row>
    <row r="826" ht="15" customHeight="1" s="33">
      <c r="A826" s="57">
        <f>IF(B826="","",ROW()-4)</f>
        <v/>
      </c>
      <c r="B826" s="58" t="n"/>
      <c r="C826" s="38" t="n"/>
      <c r="D826" s="38" t="n"/>
      <c r="E826" s="41" t="n"/>
      <c r="F826" s="57">
        <f>IF(D826="","",IFERROR(INDEX(Referensi!$J$5:$J$30,MATCH(D826,Referensi!$I$5:$I$30,0)),"?"))</f>
        <v/>
      </c>
      <c r="G826" s="38" t="n"/>
      <c r="H826" s="38" t="n"/>
      <c r="I826" s="38" t="n"/>
      <c r="J826" s="38" t="n"/>
    </row>
    <row r="827" ht="15" customHeight="1" s="33">
      <c r="A827" s="57">
        <f>IF(B827="","",ROW()-4)</f>
        <v/>
      </c>
      <c r="B827" s="58" t="n"/>
      <c r="C827" s="38" t="n"/>
      <c r="D827" s="38" t="n"/>
      <c r="E827" s="41" t="n"/>
      <c r="F827" s="57">
        <f>IF(D827="","",IFERROR(INDEX(Referensi!$J$5:$J$30,MATCH(D827,Referensi!$I$5:$I$30,0)),"?"))</f>
        <v/>
      </c>
      <c r="G827" s="38" t="n"/>
      <c r="H827" s="38" t="n"/>
      <c r="I827" s="38" t="n"/>
      <c r="J827" s="38" t="n"/>
    </row>
    <row r="828" ht="15" customHeight="1" s="33">
      <c r="A828" s="57">
        <f>IF(B828="","",ROW()-4)</f>
        <v/>
      </c>
      <c r="B828" s="58" t="n"/>
      <c r="C828" s="38" t="n"/>
      <c r="D828" s="38" t="n"/>
      <c r="E828" s="41" t="n"/>
      <c r="F828" s="57">
        <f>IF(D828="","",IFERROR(INDEX(Referensi!$J$5:$J$30,MATCH(D828,Referensi!$I$5:$I$30,0)),"?"))</f>
        <v/>
      </c>
      <c r="G828" s="38" t="n"/>
      <c r="H828" s="38" t="n"/>
      <c r="I828" s="38" t="n"/>
      <c r="J828" s="38" t="n"/>
    </row>
    <row r="829" ht="15" customHeight="1" s="33">
      <c r="A829" s="57">
        <f>IF(B829="","",ROW()-4)</f>
        <v/>
      </c>
      <c r="B829" s="58" t="n"/>
      <c r="C829" s="38" t="n"/>
      <c r="D829" s="38" t="n"/>
      <c r="E829" s="41" t="n"/>
      <c r="F829" s="57">
        <f>IF(D829="","",IFERROR(INDEX(Referensi!$J$5:$J$30,MATCH(D829,Referensi!$I$5:$I$30,0)),"?"))</f>
        <v/>
      </c>
      <c r="G829" s="38" t="n"/>
      <c r="H829" s="38" t="n"/>
      <c r="I829" s="38" t="n"/>
      <c r="J829" s="38" t="n"/>
    </row>
    <row r="830" ht="15" customHeight="1" s="33">
      <c r="A830" s="57">
        <f>IF(B830="","",ROW()-4)</f>
        <v/>
      </c>
      <c r="B830" s="58" t="n"/>
      <c r="C830" s="38" t="n"/>
      <c r="D830" s="38" t="n"/>
      <c r="E830" s="41" t="n"/>
      <c r="F830" s="57">
        <f>IF(D830="","",IFERROR(INDEX(Referensi!$J$5:$J$30,MATCH(D830,Referensi!$I$5:$I$30,0)),"?"))</f>
        <v/>
      </c>
      <c r="G830" s="38" t="n"/>
      <c r="H830" s="38" t="n"/>
      <c r="I830" s="38" t="n"/>
      <c r="J830" s="38" t="n"/>
    </row>
    <row r="831" ht="15" customHeight="1" s="33">
      <c r="A831" s="57">
        <f>IF(B831="","",ROW()-4)</f>
        <v/>
      </c>
      <c r="B831" s="58" t="n"/>
      <c r="C831" s="38" t="n"/>
      <c r="D831" s="38" t="n"/>
      <c r="E831" s="41" t="n"/>
      <c r="F831" s="57">
        <f>IF(D831="","",IFERROR(INDEX(Referensi!$J$5:$J$30,MATCH(D831,Referensi!$I$5:$I$30,0)),"?"))</f>
        <v/>
      </c>
      <c r="G831" s="38" t="n"/>
      <c r="H831" s="38" t="n"/>
      <c r="I831" s="38" t="n"/>
      <c r="J831" s="38" t="n"/>
    </row>
    <row r="832" ht="15" customHeight="1" s="33">
      <c r="A832" s="57">
        <f>IF(B832="","",ROW()-4)</f>
        <v/>
      </c>
      <c r="B832" s="58" t="n"/>
      <c r="C832" s="38" t="n"/>
      <c r="D832" s="38" t="n"/>
      <c r="E832" s="41" t="n"/>
      <c r="F832" s="57">
        <f>IF(D832="","",IFERROR(INDEX(Referensi!$J$5:$J$30,MATCH(D832,Referensi!$I$5:$I$30,0)),"?"))</f>
        <v/>
      </c>
      <c r="G832" s="38" t="n"/>
      <c r="H832" s="38" t="n"/>
      <c r="I832" s="38" t="n"/>
      <c r="J832" s="38" t="n"/>
    </row>
    <row r="833" ht="15" customHeight="1" s="33">
      <c r="A833" s="57">
        <f>IF(B833="","",ROW()-4)</f>
        <v/>
      </c>
      <c r="B833" s="58" t="n"/>
      <c r="C833" s="38" t="n"/>
      <c r="D833" s="38" t="n"/>
      <c r="E833" s="41" t="n"/>
      <c r="F833" s="57">
        <f>IF(D833="","",IFERROR(INDEX(Referensi!$J$5:$J$30,MATCH(D833,Referensi!$I$5:$I$30,0)),"?"))</f>
        <v/>
      </c>
      <c r="G833" s="38" t="n"/>
      <c r="H833" s="38" t="n"/>
      <c r="I833" s="38" t="n"/>
      <c r="J833" s="38" t="n"/>
    </row>
    <row r="834" ht="15" customHeight="1" s="33">
      <c r="A834" s="57">
        <f>IF(B834="","",ROW()-4)</f>
        <v/>
      </c>
      <c r="B834" s="58" t="n"/>
      <c r="C834" s="38" t="n"/>
      <c r="D834" s="38" t="n"/>
      <c r="E834" s="41" t="n"/>
      <c r="F834" s="57">
        <f>IF(D834="","",IFERROR(INDEX(Referensi!$J$5:$J$30,MATCH(D834,Referensi!$I$5:$I$30,0)),"?"))</f>
        <v/>
      </c>
      <c r="G834" s="38" t="n"/>
      <c r="H834" s="38" t="n"/>
      <c r="I834" s="38" t="n"/>
      <c r="J834" s="38" t="n"/>
    </row>
    <row r="835" ht="15" customHeight="1" s="33">
      <c r="A835" s="57">
        <f>IF(B835="","",ROW()-4)</f>
        <v/>
      </c>
      <c r="B835" s="58" t="n"/>
      <c r="C835" s="38" t="n"/>
      <c r="D835" s="38" t="n"/>
      <c r="E835" s="41" t="n"/>
      <c r="F835" s="57">
        <f>IF(D835="","",IFERROR(INDEX(Referensi!$J$5:$J$30,MATCH(D835,Referensi!$I$5:$I$30,0)),"?"))</f>
        <v/>
      </c>
      <c r="G835" s="38" t="n"/>
      <c r="H835" s="38" t="n"/>
      <c r="I835" s="38" t="n"/>
      <c r="J835" s="38" t="n"/>
    </row>
    <row r="836" ht="15" customHeight="1" s="33">
      <c r="A836" s="57">
        <f>IF(B836="","",ROW()-4)</f>
        <v/>
      </c>
      <c r="B836" s="58" t="n"/>
      <c r="C836" s="38" t="n"/>
      <c r="D836" s="38" t="n"/>
      <c r="E836" s="41" t="n"/>
      <c r="F836" s="57">
        <f>IF(D836="","",IFERROR(INDEX(Referensi!$J$5:$J$30,MATCH(D836,Referensi!$I$5:$I$30,0)),"?"))</f>
        <v/>
      </c>
      <c r="G836" s="38" t="n"/>
      <c r="H836" s="38" t="n"/>
      <c r="I836" s="38" t="n"/>
      <c r="J836" s="38" t="n"/>
    </row>
    <row r="837" ht="15" customHeight="1" s="33">
      <c r="A837" s="57">
        <f>IF(B837="","",ROW()-4)</f>
        <v/>
      </c>
      <c r="B837" s="58" t="n"/>
      <c r="C837" s="38" t="n"/>
      <c r="D837" s="38" t="n"/>
      <c r="E837" s="41" t="n"/>
      <c r="F837" s="57">
        <f>IF(D837="","",IFERROR(INDEX(Referensi!$J$5:$J$30,MATCH(D837,Referensi!$I$5:$I$30,0)),"?"))</f>
        <v/>
      </c>
      <c r="G837" s="38" t="n"/>
      <c r="H837" s="38" t="n"/>
      <c r="I837" s="38" t="n"/>
      <c r="J837" s="38" t="n"/>
    </row>
    <row r="838" ht="15" customHeight="1" s="33">
      <c r="A838" s="57">
        <f>IF(B838="","",ROW()-4)</f>
        <v/>
      </c>
      <c r="B838" s="58" t="n"/>
      <c r="C838" s="38" t="n"/>
      <c r="D838" s="38" t="n"/>
      <c r="E838" s="41" t="n"/>
      <c r="F838" s="57">
        <f>IF(D838="","",IFERROR(INDEX(Referensi!$J$5:$J$30,MATCH(D838,Referensi!$I$5:$I$30,0)),"?"))</f>
        <v/>
      </c>
      <c r="G838" s="38" t="n"/>
      <c r="H838" s="38" t="n"/>
      <c r="I838" s="38" t="n"/>
      <c r="J838" s="38" t="n"/>
    </row>
    <row r="839" ht="15" customHeight="1" s="33">
      <c r="A839" s="57">
        <f>IF(B839="","",ROW()-4)</f>
        <v/>
      </c>
      <c r="B839" s="58" t="n"/>
      <c r="C839" s="38" t="n"/>
      <c r="D839" s="38" t="n"/>
      <c r="E839" s="41" t="n"/>
      <c r="F839" s="57">
        <f>IF(D839="","",IFERROR(INDEX(Referensi!$J$5:$J$30,MATCH(D839,Referensi!$I$5:$I$30,0)),"?"))</f>
        <v/>
      </c>
      <c r="G839" s="38" t="n"/>
      <c r="H839" s="38" t="n"/>
      <c r="I839" s="38" t="n"/>
      <c r="J839" s="38" t="n"/>
    </row>
    <row r="840" ht="15" customHeight="1" s="33">
      <c r="A840" s="57">
        <f>IF(B840="","",ROW()-4)</f>
        <v/>
      </c>
      <c r="B840" s="58" t="n"/>
      <c r="C840" s="38" t="n"/>
      <c r="D840" s="38" t="n"/>
      <c r="E840" s="41" t="n"/>
      <c r="F840" s="57">
        <f>IF(D840="","",IFERROR(INDEX(Referensi!$J$5:$J$30,MATCH(D840,Referensi!$I$5:$I$30,0)),"?"))</f>
        <v/>
      </c>
      <c r="G840" s="38" t="n"/>
      <c r="H840" s="38" t="n"/>
      <c r="I840" s="38" t="n"/>
      <c r="J840" s="38" t="n"/>
    </row>
    <row r="841" ht="15" customHeight="1" s="33">
      <c r="A841" s="57">
        <f>IF(B841="","",ROW()-4)</f>
        <v/>
      </c>
      <c r="B841" s="58" t="n"/>
      <c r="C841" s="38" t="n"/>
      <c r="D841" s="38" t="n"/>
      <c r="E841" s="41" t="n"/>
      <c r="F841" s="57">
        <f>IF(D841="","",IFERROR(INDEX(Referensi!$J$5:$J$30,MATCH(D841,Referensi!$I$5:$I$30,0)),"?"))</f>
        <v/>
      </c>
      <c r="G841" s="38" t="n"/>
      <c r="H841" s="38" t="n"/>
      <c r="I841" s="38" t="n"/>
      <c r="J841" s="38" t="n"/>
    </row>
    <row r="842" ht="15" customHeight="1" s="33">
      <c r="A842" s="57">
        <f>IF(B842="","",ROW()-4)</f>
        <v/>
      </c>
      <c r="B842" s="58" t="n"/>
      <c r="C842" s="38" t="n"/>
      <c r="D842" s="38" t="n"/>
      <c r="E842" s="41" t="n"/>
      <c r="F842" s="57">
        <f>IF(D842="","",IFERROR(INDEX(Referensi!$J$5:$J$30,MATCH(D842,Referensi!$I$5:$I$30,0)),"?"))</f>
        <v/>
      </c>
      <c r="G842" s="38" t="n"/>
      <c r="H842" s="38" t="n"/>
      <c r="I842" s="38" t="n"/>
      <c r="J842" s="38" t="n"/>
    </row>
    <row r="843" ht="15" customHeight="1" s="33">
      <c r="A843" s="57">
        <f>IF(B843="","",ROW()-4)</f>
        <v/>
      </c>
      <c r="B843" s="58" t="n"/>
      <c r="C843" s="38" t="n"/>
      <c r="D843" s="38" t="n"/>
      <c r="E843" s="41" t="n"/>
      <c r="F843" s="57">
        <f>IF(D843="","",IFERROR(INDEX(Referensi!$J$5:$J$30,MATCH(D843,Referensi!$I$5:$I$30,0)),"?"))</f>
        <v/>
      </c>
      <c r="G843" s="38" t="n"/>
      <c r="H843" s="38" t="n"/>
      <c r="I843" s="38" t="n"/>
      <c r="J843" s="38" t="n"/>
    </row>
    <row r="844" ht="15" customHeight="1" s="33">
      <c r="A844" s="57">
        <f>IF(B844="","",ROW()-4)</f>
        <v/>
      </c>
      <c r="B844" s="58" t="n"/>
      <c r="C844" s="38" t="n"/>
      <c r="D844" s="38" t="n"/>
      <c r="E844" s="41" t="n"/>
      <c r="F844" s="57">
        <f>IF(D844="","",IFERROR(INDEX(Referensi!$J$5:$J$30,MATCH(D844,Referensi!$I$5:$I$30,0)),"?"))</f>
        <v/>
      </c>
      <c r="G844" s="38" t="n"/>
      <c r="H844" s="38" t="n"/>
      <c r="I844" s="38" t="n"/>
      <c r="J844" s="38" t="n"/>
    </row>
    <row r="845" ht="15" customHeight="1" s="33">
      <c r="A845" s="57">
        <f>IF(B845="","",ROW()-4)</f>
        <v/>
      </c>
      <c r="B845" s="58" t="n"/>
      <c r="C845" s="38" t="n"/>
      <c r="D845" s="38" t="n"/>
      <c r="E845" s="41" t="n"/>
      <c r="F845" s="57">
        <f>IF(D845="","",IFERROR(INDEX(Referensi!$J$5:$J$30,MATCH(D845,Referensi!$I$5:$I$30,0)),"?"))</f>
        <v/>
      </c>
      <c r="G845" s="38" t="n"/>
      <c r="H845" s="38" t="n"/>
      <c r="I845" s="38" t="n"/>
      <c r="J845" s="38" t="n"/>
    </row>
    <row r="846" ht="15" customHeight="1" s="33">
      <c r="A846" s="57">
        <f>IF(B846="","",ROW()-4)</f>
        <v/>
      </c>
      <c r="B846" s="58" t="n"/>
      <c r="C846" s="38" t="n"/>
      <c r="D846" s="38" t="n"/>
      <c r="E846" s="41" t="n"/>
      <c r="F846" s="57">
        <f>IF(D846="","",IFERROR(INDEX(Referensi!$J$5:$J$30,MATCH(D846,Referensi!$I$5:$I$30,0)),"?"))</f>
        <v/>
      </c>
      <c r="G846" s="38" t="n"/>
      <c r="H846" s="38" t="n"/>
      <c r="I846" s="38" t="n"/>
      <c r="J846" s="38" t="n"/>
    </row>
    <row r="847" ht="15" customHeight="1" s="33">
      <c r="A847" s="57">
        <f>IF(B847="","",ROW()-4)</f>
        <v/>
      </c>
      <c r="B847" s="58" t="n"/>
      <c r="C847" s="38" t="n"/>
      <c r="D847" s="38" t="n"/>
      <c r="E847" s="41" t="n"/>
      <c r="F847" s="57">
        <f>IF(D847="","",IFERROR(INDEX(Referensi!$J$5:$J$30,MATCH(D847,Referensi!$I$5:$I$30,0)),"?"))</f>
        <v/>
      </c>
      <c r="G847" s="38" t="n"/>
      <c r="H847" s="38" t="n"/>
      <c r="I847" s="38" t="n"/>
      <c r="J847" s="38" t="n"/>
    </row>
    <row r="848" ht="15" customHeight="1" s="33">
      <c r="A848" s="57">
        <f>IF(B848="","",ROW()-4)</f>
        <v/>
      </c>
      <c r="B848" s="58" t="n"/>
      <c r="C848" s="38" t="n"/>
      <c r="D848" s="38" t="n"/>
      <c r="E848" s="41" t="n"/>
      <c r="F848" s="57">
        <f>IF(D848="","",IFERROR(INDEX(Referensi!$J$5:$J$30,MATCH(D848,Referensi!$I$5:$I$30,0)),"?"))</f>
        <v/>
      </c>
      <c r="G848" s="38" t="n"/>
      <c r="H848" s="38" t="n"/>
      <c r="I848" s="38" t="n"/>
      <c r="J848" s="38" t="n"/>
    </row>
    <row r="849" ht="15" customHeight="1" s="33">
      <c r="A849" s="57">
        <f>IF(B849="","",ROW()-4)</f>
        <v/>
      </c>
      <c r="B849" s="58" t="n"/>
      <c r="C849" s="38" t="n"/>
      <c r="D849" s="38" t="n"/>
      <c r="E849" s="41" t="n"/>
      <c r="F849" s="57">
        <f>IF(D849="","",IFERROR(INDEX(Referensi!$J$5:$J$30,MATCH(D849,Referensi!$I$5:$I$30,0)),"?"))</f>
        <v/>
      </c>
      <c r="G849" s="38" t="n"/>
      <c r="H849" s="38" t="n"/>
      <c r="I849" s="38" t="n"/>
      <c r="J849" s="38" t="n"/>
    </row>
    <row r="850" ht="15" customHeight="1" s="33">
      <c r="A850" s="57">
        <f>IF(B850="","",ROW()-4)</f>
        <v/>
      </c>
      <c r="B850" s="58" t="n"/>
      <c r="C850" s="38" t="n"/>
      <c r="D850" s="38" t="n"/>
      <c r="E850" s="41" t="n"/>
      <c r="F850" s="57">
        <f>IF(D850="","",IFERROR(INDEX(Referensi!$J$5:$J$30,MATCH(D850,Referensi!$I$5:$I$30,0)),"?"))</f>
        <v/>
      </c>
      <c r="G850" s="38" t="n"/>
      <c r="H850" s="38" t="n"/>
      <c r="I850" s="38" t="n"/>
      <c r="J850" s="38" t="n"/>
    </row>
    <row r="851" ht="15" customHeight="1" s="33">
      <c r="A851" s="57">
        <f>IF(B851="","",ROW()-4)</f>
        <v/>
      </c>
      <c r="B851" s="58" t="n"/>
      <c r="C851" s="38" t="n"/>
      <c r="D851" s="38" t="n"/>
      <c r="E851" s="41" t="n"/>
      <c r="F851" s="57">
        <f>IF(D851="","",IFERROR(INDEX(Referensi!$J$5:$J$30,MATCH(D851,Referensi!$I$5:$I$30,0)),"?"))</f>
        <v/>
      </c>
      <c r="G851" s="38" t="n"/>
      <c r="H851" s="38" t="n"/>
      <c r="I851" s="38" t="n"/>
      <c r="J851" s="38" t="n"/>
    </row>
    <row r="852" ht="15" customHeight="1" s="33">
      <c r="A852" s="57">
        <f>IF(B852="","",ROW()-4)</f>
        <v/>
      </c>
      <c r="B852" s="58" t="n"/>
      <c r="C852" s="38" t="n"/>
      <c r="D852" s="38" t="n"/>
      <c r="E852" s="41" t="n"/>
      <c r="F852" s="57">
        <f>IF(D852="","",IFERROR(INDEX(Referensi!$J$5:$J$30,MATCH(D852,Referensi!$I$5:$I$30,0)),"?"))</f>
        <v/>
      </c>
      <c r="G852" s="38" t="n"/>
      <c r="H852" s="38" t="n"/>
      <c r="I852" s="38" t="n"/>
      <c r="J852" s="38" t="n"/>
    </row>
    <row r="853" ht="15" customHeight="1" s="33">
      <c r="A853" s="57">
        <f>IF(B853="","",ROW()-4)</f>
        <v/>
      </c>
      <c r="B853" s="58" t="n"/>
      <c r="C853" s="38" t="n"/>
      <c r="D853" s="38" t="n"/>
      <c r="E853" s="41" t="n"/>
      <c r="F853" s="57">
        <f>IF(D853="","",IFERROR(INDEX(Referensi!$J$5:$J$30,MATCH(D853,Referensi!$I$5:$I$30,0)),"?"))</f>
        <v/>
      </c>
      <c r="G853" s="38" t="n"/>
      <c r="H853" s="38" t="n"/>
      <c r="I853" s="38" t="n"/>
      <c r="J853" s="38" t="n"/>
    </row>
    <row r="854" ht="15" customHeight="1" s="33">
      <c r="A854" s="57">
        <f>IF(B854="","",ROW()-4)</f>
        <v/>
      </c>
      <c r="B854" s="58" t="n"/>
      <c r="C854" s="38" t="n"/>
      <c r="D854" s="38" t="n"/>
      <c r="E854" s="41" t="n"/>
      <c r="F854" s="57">
        <f>IF(D854="","",IFERROR(INDEX(Referensi!$J$5:$J$30,MATCH(D854,Referensi!$I$5:$I$30,0)),"?"))</f>
        <v/>
      </c>
      <c r="G854" s="38" t="n"/>
      <c r="H854" s="38" t="n"/>
      <c r="I854" s="38" t="n"/>
      <c r="J854" s="38" t="n"/>
    </row>
    <row r="855" ht="15" customHeight="1" s="33">
      <c r="A855" s="57">
        <f>IF(B855="","",ROW()-4)</f>
        <v/>
      </c>
      <c r="B855" s="58" t="n"/>
      <c r="C855" s="38" t="n"/>
      <c r="D855" s="38" t="n"/>
      <c r="E855" s="41" t="n"/>
      <c r="F855" s="57">
        <f>IF(D855="","",IFERROR(INDEX(Referensi!$J$5:$J$30,MATCH(D855,Referensi!$I$5:$I$30,0)),"?"))</f>
        <v/>
      </c>
      <c r="G855" s="38" t="n"/>
      <c r="H855" s="38" t="n"/>
      <c r="I855" s="38" t="n"/>
      <c r="J855" s="38" t="n"/>
    </row>
    <row r="856" ht="15" customHeight="1" s="33">
      <c r="A856" s="57">
        <f>IF(B856="","",ROW()-4)</f>
        <v/>
      </c>
      <c r="B856" s="58" t="n"/>
      <c r="C856" s="38" t="n"/>
      <c r="D856" s="38" t="n"/>
      <c r="E856" s="41" t="n"/>
      <c r="F856" s="57">
        <f>IF(D856="","",IFERROR(INDEX(Referensi!$J$5:$J$30,MATCH(D856,Referensi!$I$5:$I$30,0)),"?"))</f>
        <v/>
      </c>
      <c r="G856" s="38" t="n"/>
      <c r="H856" s="38" t="n"/>
      <c r="I856" s="38" t="n"/>
      <c r="J856" s="38" t="n"/>
    </row>
    <row r="857" ht="15" customHeight="1" s="33">
      <c r="A857" s="57">
        <f>IF(B857="","",ROW()-4)</f>
        <v/>
      </c>
      <c r="B857" s="58" t="n"/>
      <c r="C857" s="38" t="n"/>
      <c r="D857" s="38" t="n"/>
      <c r="E857" s="41" t="n"/>
      <c r="F857" s="57">
        <f>IF(D857="","",IFERROR(INDEX(Referensi!$J$5:$J$30,MATCH(D857,Referensi!$I$5:$I$30,0)),"?"))</f>
        <v/>
      </c>
      <c r="G857" s="38" t="n"/>
      <c r="H857" s="38" t="n"/>
      <c r="I857" s="38" t="n"/>
      <c r="J857" s="38" t="n"/>
    </row>
    <row r="858" ht="15" customHeight="1" s="33">
      <c r="A858" s="57">
        <f>IF(B858="","",ROW()-4)</f>
        <v/>
      </c>
      <c r="B858" s="58" t="n"/>
      <c r="C858" s="38" t="n"/>
      <c r="D858" s="38" t="n"/>
      <c r="E858" s="41" t="n"/>
      <c r="F858" s="57">
        <f>IF(D858="","",IFERROR(INDEX(Referensi!$J$5:$J$30,MATCH(D858,Referensi!$I$5:$I$30,0)),"?"))</f>
        <v/>
      </c>
      <c r="G858" s="38" t="n"/>
      <c r="H858" s="38" t="n"/>
      <c r="I858" s="38" t="n"/>
      <c r="J858" s="38" t="n"/>
    </row>
    <row r="859" ht="15" customHeight="1" s="33">
      <c r="A859" s="57">
        <f>IF(B859="","",ROW()-4)</f>
        <v/>
      </c>
      <c r="B859" s="58" t="n"/>
      <c r="C859" s="38" t="n"/>
      <c r="D859" s="38" t="n"/>
      <c r="E859" s="41" t="n"/>
      <c r="F859" s="57">
        <f>IF(D859="","",IFERROR(INDEX(Referensi!$J$5:$J$30,MATCH(D859,Referensi!$I$5:$I$30,0)),"?"))</f>
        <v/>
      </c>
      <c r="G859" s="38" t="n"/>
      <c r="H859" s="38" t="n"/>
      <c r="I859" s="38" t="n"/>
      <c r="J859" s="38" t="n"/>
    </row>
    <row r="860" ht="15" customHeight="1" s="33">
      <c r="A860" s="57">
        <f>IF(B860="","",ROW()-4)</f>
        <v/>
      </c>
      <c r="B860" s="58" t="n"/>
      <c r="C860" s="38" t="n"/>
      <c r="D860" s="38" t="n"/>
      <c r="E860" s="41" t="n"/>
      <c r="F860" s="57">
        <f>IF(D860="","",IFERROR(INDEX(Referensi!$J$5:$J$30,MATCH(D860,Referensi!$I$5:$I$30,0)),"?"))</f>
        <v/>
      </c>
      <c r="G860" s="38" t="n"/>
      <c r="H860" s="38" t="n"/>
      <c r="I860" s="38" t="n"/>
      <c r="J860" s="38" t="n"/>
    </row>
    <row r="861" ht="15" customHeight="1" s="33">
      <c r="A861" s="57">
        <f>IF(B861="","",ROW()-4)</f>
        <v/>
      </c>
      <c r="B861" s="58" t="n"/>
      <c r="C861" s="38" t="n"/>
      <c r="D861" s="38" t="n"/>
      <c r="E861" s="41" t="n"/>
      <c r="F861" s="57">
        <f>IF(D861="","",IFERROR(INDEX(Referensi!$J$5:$J$30,MATCH(D861,Referensi!$I$5:$I$30,0)),"?"))</f>
        <v/>
      </c>
      <c r="G861" s="38" t="n"/>
      <c r="H861" s="38" t="n"/>
      <c r="I861" s="38" t="n"/>
      <c r="J861" s="38" t="n"/>
    </row>
    <row r="862" ht="15" customHeight="1" s="33">
      <c r="A862" s="57">
        <f>IF(B862="","",ROW()-4)</f>
        <v/>
      </c>
      <c r="B862" s="58" t="n"/>
      <c r="C862" s="38" t="n"/>
      <c r="D862" s="38" t="n"/>
      <c r="E862" s="41" t="n"/>
      <c r="F862" s="57">
        <f>IF(D862="","",IFERROR(INDEX(Referensi!$J$5:$J$30,MATCH(D862,Referensi!$I$5:$I$30,0)),"?"))</f>
        <v/>
      </c>
      <c r="G862" s="38" t="n"/>
      <c r="H862" s="38" t="n"/>
      <c r="I862" s="38" t="n"/>
      <c r="J862" s="38" t="n"/>
    </row>
    <row r="863" ht="15" customHeight="1" s="33">
      <c r="A863" s="57">
        <f>IF(B863="","",ROW()-4)</f>
        <v/>
      </c>
      <c r="B863" s="58" t="n"/>
      <c r="C863" s="38" t="n"/>
      <c r="D863" s="38" t="n"/>
      <c r="E863" s="41" t="n"/>
      <c r="F863" s="57">
        <f>IF(D863="","",IFERROR(INDEX(Referensi!$J$5:$J$30,MATCH(D863,Referensi!$I$5:$I$30,0)),"?"))</f>
        <v/>
      </c>
      <c r="G863" s="38" t="n"/>
      <c r="H863" s="38" t="n"/>
      <c r="I863" s="38" t="n"/>
      <c r="J863" s="38" t="n"/>
    </row>
    <row r="864" ht="15" customHeight="1" s="33">
      <c r="A864" s="57">
        <f>IF(B864="","",ROW()-4)</f>
        <v/>
      </c>
      <c r="B864" s="58" t="n"/>
      <c r="C864" s="38" t="n"/>
      <c r="D864" s="38" t="n"/>
      <c r="E864" s="41" t="n"/>
      <c r="F864" s="57">
        <f>IF(D864="","",IFERROR(INDEX(Referensi!$J$5:$J$30,MATCH(D864,Referensi!$I$5:$I$30,0)),"?"))</f>
        <v/>
      </c>
      <c r="G864" s="38" t="n"/>
      <c r="H864" s="38" t="n"/>
      <c r="I864" s="38" t="n"/>
      <c r="J864" s="38" t="n"/>
    </row>
    <row r="865" ht="15" customHeight="1" s="33">
      <c r="A865" s="57">
        <f>IF(B865="","",ROW()-4)</f>
        <v/>
      </c>
      <c r="B865" s="58" t="n"/>
      <c r="C865" s="38" t="n"/>
      <c r="D865" s="38" t="n"/>
      <c r="E865" s="41" t="n"/>
      <c r="F865" s="57">
        <f>IF(D865="","",IFERROR(INDEX(Referensi!$J$5:$J$30,MATCH(D865,Referensi!$I$5:$I$30,0)),"?"))</f>
        <v/>
      </c>
      <c r="G865" s="38" t="n"/>
      <c r="H865" s="38" t="n"/>
      <c r="I865" s="38" t="n"/>
      <c r="J865" s="38" t="n"/>
    </row>
    <row r="866" ht="15" customHeight="1" s="33">
      <c r="A866" s="57">
        <f>IF(B866="","",ROW()-4)</f>
        <v/>
      </c>
      <c r="B866" s="58" t="n"/>
      <c r="C866" s="38" t="n"/>
      <c r="D866" s="38" t="n"/>
      <c r="E866" s="41" t="n"/>
      <c r="F866" s="57">
        <f>IF(D866="","",IFERROR(INDEX(Referensi!$J$5:$J$30,MATCH(D866,Referensi!$I$5:$I$30,0)),"?"))</f>
        <v/>
      </c>
      <c r="G866" s="38" t="n"/>
      <c r="H866" s="38" t="n"/>
      <c r="I866" s="38" t="n"/>
      <c r="J866" s="38" t="n"/>
    </row>
    <row r="867" ht="15" customHeight="1" s="33">
      <c r="A867" s="57">
        <f>IF(B867="","",ROW()-4)</f>
        <v/>
      </c>
      <c r="B867" s="58" t="n"/>
      <c r="C867" s="38" t="n"/>
      <c r="D867" s="38" t="n"/>
      <c r="E867" s="41" t="n"/>
      <c r="F867" s="57">
        <f>IF(D867="","",IFERROR(INDEX(Referensi!$J$5:$J$30,MATCH(D867,Referensi!$I$5:$I$30,0)),"?"))</f>
        <v/>
      </c>
      <c r="G867" s="38" t="n"/>
      <c r="H867" s="38" t="n"/>
      <c r="I867" s="38" t="n"/>
      <c r="J867" s="38" t="n"/>
    </row>
    <row r="868" ht="15" customHeight="1" s="33">
      <c r="A868" s="57">
        <f>IF(B868="","",ROW()-4)</f>
        <v/>
      </c>
      <c r="B868" s="58" t="n"/>
      <c r="C868" s="38" t="n"/>
      <c r="D868" s="38" t="n"/>
      <c r="E868" s="41" t="n"/>
      <c r="F868" s="57">
        <f>IF(D868="","",IFERROR(INDEX(Referensi!$J$5:$J$30,MATCH(D868,Referensi!$I$5:$I$30,0)),"?"))</f>
        <v/>
      </c>
      <c r="G868" s="38" t="n"/>
      <c r="H868" s="38" t="n"/>
      <c r="I868" s="38" t="n"/>
      <c r="J868" s="38" t="n"/>
    </row>
    <row r="869" ht="15" customHeight="1" s="33">
      <c r="A869" s="57">
        <f>IF(B869="","",ROW()-4)</f>
        <v/>
      </c>
      <c r="B869" s="58" t="n"/>
      <c r="C869" s="38" t="n"/>
      <c r="D869" s="38" t="n"/>
      <c r="E869" s="41" t="n"/>
      <c r="F869" s="57">
        <f>IF(D869="","",IFERROR(INDEX(Referensi!$J$5:$J$30,MATCH(D869,Referensi!$I$5:$I$30,0)),"?"))</f>
        <v/>
      </c>
      <c r="G869" s="38" t="n"/>
      <c r="H869" s="38" t="n"/>
      <c r="I869" s="38" t="n"/>
      <c r="J869" s="38" t="n"/>
    </row>
    <row r="870" ht="15" customHeight="1" s="33">
      <c r="A870" s="57">
        <f>IF(B870="","",ROW()-4)</f>
        <v/>
      </c>
      <c r="B870" s="58" t="n"/>
      <c r="C870" s="38" t="n"/>
      <c r="D870" s="38" t="n"/>
      <c r="E870" s="41" t="n"/>
      <c r="F870" s="57">
        <f>IF(D870="","",IFERROR(INDEX(Referensi!$J$5:$J$30,MATCH(D870,Referensi!$I$5:$I$30,0)),"?"))</f>
        <v/>
      </c>
      <c r="G870" s="38" t="n"/>
      <c r="H870" s="38" t="n"/>
      <c r="I870" s="38" t="n"/>
      <c r="J870" s="38" t="n"/>
    </row>
    <row r="871" ht="15" customHeight="1" s="33">
      <c r="A871" s="57">
        <f>IF(B871="","",ROW()-4)</f>
        <v/>
      </c>
      <c r="B871" s="58" t="n"/>
      <c r="C871" s="38" t="n"/>
      <c r="D871" s="38" t="n"/>
      <c r="E871" s="41" t="n"/>
      <c r="F871" s="57">
        <f>IF(D871="","",IFERROR(INDEX(Referensi!$J$5:$J$30,MATCH(D871,Referensi!$I$5:$I$30,0)),"?"))</f>
        <v/>
      </c>
      <c r="G871" s="38" t="n"/>
      <c r="H871" s="38" t="n"/>
      <c r="I871" s="38" t="n"/>
      <c r="J871" s="38" t="n"/>
    </row>
    <row r="872" ht="15" customHeight="1" s="33">
      <c r="A872" s="57">
        <f>IF(B872="","",ROW()-4)</f>
        <v/>
      </c>
      <c r="B872" s="58" t="n"/>
      <c r="C872" s="38" t="n"/>
      <c r="D872" s="38" t="n"/>
      <c r="E872" s="41" t="n"/>
      <c r="F872" s="57">
        <f>IF(D872="","",IFERROR(INDEX(Referensi!$J$5:$J$30,MATCH(D872,Referensi!$I$5:$I$30,0)),"?"))</f>
        <v/>
      </c>
      <c r="G872" s="38" t="n"/>
      <c r="H872" s="38" t="n"/>
      <c r="I872" s="38" t="n"/>
      <c r="J872" s="38" t="n"/>
    </row>
    <row r="873" ht="15" customHeight="1" s="33">
      <c r="A873" s="57">
        <f>IF(B873="","",ROW()-4)</f>
        <v/>
      </c>
      <c r="B873" s="58" t="n"/>
      <c r="C873" s="38" t="n"/>
      <c r="D873" s="38" t="n"/>
      <c r="E873" s="41" t="n"/>
      <c r="F873" s="57">
        <f>IF(D873="","",IFERROR(INDEX(Referensi!$J$5:$J$30,MATCH(D873,Referensi!$I$5:$I$30,0)),"?"))</f>
        <v/>
      </c>
      <c r="G873" s="38" t="n"/>
      <c r="H873" s="38" t="n"/>
      <c r="I873" s="38" t="n"/>
      <c r="J873" s="38" t="n"/>
    </row>
    <row r="874" ht="15" customHeight="1" s="33">
      <c r="A874" s="57">
        <f>IF(B874="","",ROW()-4)</f>
        <v/>
      </c>
      <c r="B874" s="58" t="n"/>
      <c r="C874" s="38" t="n"/>
      <c r="D874" s="38" t="n"/>
      <c r="E874" s="41" t="n"/>
      <c r="F874" s="57">
        <f>IF(D874="","",IFERROR(INDEX(Referensi!$J$5:$J$30,MATCH(D874,Referensi!$I$5:$I$30,0)),"?"))</f>
        <v/>
      </c>
      <c r="G874" s="38" t="n"/>
      <c r="H874" s="38" t="n"/>
      <c r="I874" s="38" t="n"/>
      <c r="J874" s="38" t="n"/>
    </row>
    <row r="875" ht="15" customHeight="1" s="33">
      <c r="A875" s="57">
        <f>IF(B875="","",ROW()-4)</f>
        <v/>
      </c>
      <c r="B875" s="58" t="n"/>
      <c r="C875" s="38" t="n"/>
      <c r="D875" s="38" t="n"/>
      <c r="E875" s="41" t="n"/>
      <c r="F875" s="57">
        <f>IF(D875="","",IFERROR(INDEX(Referensi!$J$5:$J$30,MATCH(D875,Referensi!$I$5:$I$30,0)),"?"))</f>
        <v/>
      </c>
      <c r="G875" s="38" t="n"/>
      <c r="H875" s="38" t="n"/>
      <c r="I875" s="38" t="n"/>
      <c r="J875" s="38" t="n"/>
    </row>
    <row r="876" ht="15" customHeight="1" s="33">
      <c r="A876" s="57">
        <f>IF(B876="","",ROW()-4)</f>
        <v/>
      </c>
      <c r="B876" s="58" t="n"/>
      <c r="C876" s="38" t="n"/>
      <c r="D876" s="38" t="n"/>
      <c r="E876" s="41" t="n"/>
      <c r="F876" s="57">
        <f>IF(D876="","",IFERROR(INDEX(Referensi!$J$5:$J$30,MATCH(D876,Referensi!$I$5:$I$30,0)),"?"))</f>
        <v/>
      </c>
      <c r="G876" s="38" t="n"/>
      <c r="H876" s="38" t="n"/>
      <c r="I876" s="38" t="n"/>
      <c r="J876" s="38" t="n"/>
    </row>
    <row r="877" ht="15" customHeight="1" s="33">
      <c r="A877" s="57">
        <f>IF(B877="","",ROW()-4)</f>
        <v/>
      </c>
      <c r="B877" s="58" t="n"/>
      <c r="C877" s="38" t="n"/>
      <c r="D877" s="38" t="n"/>
      <c r="E877" s="41" t="n"/>
      <c r="F877" s="57">
        <f>IF(D877="","",IFERROR(INDEX(Referensi!$J$5:$J$30,MATCH(D877,Referensi!$I$5:$I$30,0)),"?"))</f>
        <v/>
      </c>
      <c r="G877" s="38" t="n"/>
      <c r="H877" s="38" t="n"/>
      <c r="I877" s="38" t="n"/>
      <c r="J877" s="38" t="n"/>
    </row>
    <row r="878" ht="15" customHeight="1" s="33">
      <c r="A878" s="57">
        <f>IF(B878="","",ROW()-4)</f>
        <v/>
      </c>
      <c r="B878" s="58" t="n"/>
      <c r="C878" s="38" t="n"/>
      <c r="D878" s="38" t="n"/>
      <c r="E878" s="41" t="n"/>
      <c r="F878" s="57">
        <f>IF(D878="","",IFERROR(INDEX(Referensi!$J$5:$J$30,MATCH(D878,Referensi!$I$5:$I$30,0)),"?"))</f>
        <v/>
      </c>
      <c r="G878" s="38" t="n"/>
      <c r="H878" s="38" t="n"/>
      <c r="I878" s="38" t="n"/>
      <c r="J878" s="38" t="n"/>
    </row>
    <row r="879" ht="15" customHeight="1" s="33">
      <c r="A879" s="57">
        <f>IF(B879="","",ROW()-4)</f>
        <v/>
      </c>
      <c r="B879" s="58" t="n"/>
      <c r="C879" s="38" t="n"/>
      <c r="D879" s="38" t="n"/>
      <c r="E879" s="41" t="n"/>
      <c r="F879" s="57">
        <f>IF(D879="","",IFERROR(INDEX(Referensi!$J$5:$J$30,MATCH(D879,Referensi!$I$5:$I$30,0)),"?"))</f>
        <v/>
      </c>
      <c r="G879" s="38" t="n"/>
      <c r="H879" s="38" t="n"/>
      <c r="I879" s="38" t="n"/>
      <c r="J879" s="38" t="n"/>
    </row>
    <row r="880" ht="15" customHeight="1" s="33">
      <c r="A880" s="57">
        <f>IF(B880="","",ROW()-4)</f>
        <v/>
      </c>
      <c r="B880" s="58" t="n"/>
      <c r="C880" s="38" t="n"/>
      <c r="D880" s="38" t="n"/>
      <c r="E880" s="41" t="n"/>
      <c r="F880" s="57">
        <f>IF(D880="","",IFERROR(INDEX(Referensi!$J$5:$J$30,MATCH(D880,Referensi!$I$5:$I$30,0)),"?"))</f>
        <v/>
      </c>
      <c r="G880" s="38" t="n"/>
      <c r="H880" s="38" t="n"/>
      <c r="I880" s="38" t="n"/>
      <c r="J880" s="38" t="n"/>
    </row>
    <row r="881" ht="15" customHeight="1" s="33">
      <c r="A881" s="57">
        <f>IF(B881="","",ROW()-4)</f>
        <v/>
      </c>
      <c r="B881" s="58" t="n"/>
      <c r="C881" s="38" t="n"/>
      <c r="D881" s="38" t="n"/>
      <c r="E881" s="41" t="n"/>
      <c r="F881" s="57">
        <f>IF(D881="","",IFERROR(INDEX(Referensi!$J$5:$J$30,MATCH(D881,Referensi!$I$5:$I$30,0)),"?"))</f>
        <v/>
      </c>
      <c r="G881" s="38" t="n"/>
      <c r="H881" s="38" t="n"/>
      <c r="I881" s="38" t="n"/>
      <c r="J881" s="38" t="n"/>
    </row>
    <row r="882" ht="15" customHeight="1" s="33">
      <c r="A882" s="57">
        <f>IF(B882="","",ROW()-4)</f>
        <v/>
      </c>
      <c r="B882" s="58" t="n"/>
      <c r="C882" s="38" t="n"/>
      <c r="D882" s="38" t="n"/>
      <c r="E882" s="41" t="n"/>
      <c r="F882" s="57">
        <f>IF(D882="","",IFERROR(INDEX(Referensi!$J$5:$J$30,MATCH(D882,Referensi!$I$5:$I$30,0)),"?"))</f>
        <v/>
      </c>
      <c r="G882" s="38" t="n"/>
      <c r="H882" s="38" t="n"/>
      <c r="I882" s="38" t="n"/>
      <c r="J882" s="38" t="n"/>
    </row>
    <row r="883" ht="15" customHeight="1" s="33">
      <c r="A883" s="57">
        <f>IF(B883="","",ROW()-4)</f>
        <v/>
      </c>
      <c r="B883" s="58" t="n"/>
      <c r="C883" s="38" t="n"/>
      <c r="D883" s="38" t="n"/>
      <c r="E883" s="41" t="n"/>
      <c r="F883" s="57">
        <f>IF(D883="","",IFERROR(INDEX(Referensi!$J$5:$J$30,MATCH(D883,Referensi!$I$5:$I$30,0)),"?"))</f>
        <v/>
      </c>
      <c r="G883" s="38" t="n"/>
      <c r="H883" s="38" t="n"/>
      <c r="I883" s="38" t="n"/>
      <c r="J883" s="38" t="n"/>
    </row>
    <row r="884" ht="15" customHeight="1" s="33">
      <c r="A884" s="57">
        <f>IF(B884="","",ROW()-4)</f>
        <v/>
      </c>
      <c r="B884" s="58" t="n"/>
      <c r="C884" s="38" t="n"/>
      <c r="D884" s="38" t="n"/>
      <c r="E884" s="41" t="n"/>
      <c r="F884" s="57">
        <f>IF(D884="","",IFERROR(INDEX(Referensi!$J$5:$J$30,MATCH(D884,Referensi!$I$5:$I$30,0)),"?"))</f>
        <v/>
      </c>
      <c r="G884" s="38" t="n"/>
      <c r="H884" s="38" t="n"/>
      <c r="I884" s="38" t="n"/>
      <c r="J884" s="38" t="n"/>
    </row>
    <row r="885" ht="15" customHeight="1" s="33">
      <c r="A885" s="57">
        <f>IF(B885="","",ROW()-4)</f>
        <v/>
      </c>
      <c r="B885" s="58" t="n"/>
      <c r="C885" s="38" t="n"/>
      <c r="D885" s="38" t="n"/>
      <c r="E885" s="41" t="n"/>
      <c r="F885" s="57">
        <f>IF(D885="","",IFERROR(INDEX(Referensi!$J$5:$J$30,MATCH(D885,Referensi!$I$5:$I$30,0)),"?"))</f>
        <v/>
      </c>
      <c r="G885" s="38" t="n"/>
      <c r="H885" s="38" t="n"/>
      <c r="I885" s="38" t="n"/>
      <c r="J885" s="38" t="n"/>
    </row>
    <row r="886" ht="15" customHeight="1" s="33">
      <c r="A886" s="57">
        <f>IF(B886="","",ROW()-4)</f>
        <v/>
      </c>
      <c r="B886" s="58" t="n"/>
      <c r="C886" s="38" t="n"/>
      <c r="D886" s="38" t="n"/>
      <c r="E886" s="41" t="n"/>
      <c r="F886" s="57">
        <f>IF(D886="","",IFERROR(INDEX(Referensi!$J$5:$J$30,MATCH(D886,Referensi!$I$5:$I$30,0)),"?"))</f>
        <v/>
      </c>
      <c r="G886" s="38" t="n"/>
      <c r="H886" s="38" t="n"/>
      <c r="I886" s="38" t="n"/>
      <c r="J886" s="38" t="n"/>
    </row>
    <row r="887" ht="15" customHeight="1" s="33">
      <c r="A887" s="57">
        <f>IF(B887="","",ROW()-4)</f>
        <v/>
      </c>
      <c r="B887" s="58" t="n"/>
      <c r="C887" s="38" t="n"/>
      <c r="D887" s="38" t="n"/>
      <c r="E887" s="41" t="n"/>
      <c r="F887" s="57">
        <f>IF(D887="","",IFERROR(INDEX(Referensi!$J$5:$J$30,MATCH(D887,Referensi!$I$5:$I$30,0)),"?"))</f>
        <v/>
      </c>
      <c r="G887" s="38" t="n"/>
      <c r="H887" s="38" t="n"/>
      <c r="I887" s="38" t="n"/>
      <c r="J887" s="38" t="n"/>
    </row>
    <row r="888" ht="15" customHeight="1" s="33">
      <c r="A888" s="57">
        <f>IF(B888="","",ROW()-4)</f>
        <v/>
      </c>
      <c r="B888" s="58" t="n"/>
      <c r="C888" s="38" t="n"/>
      <c r="D888" s="38" t="n"/>
      <c r="E888" s="41" t="n"/>
      <c r="F888" s="57">
        <f>IF(D888="","",IFERROR(INDEX(Referensi!$J$5:$J$30,MATCH(D888,Referensi!$I$5:$I$30,0)),"?"))</f>
        <v/>
      </c>
      <c r="G888" s="38" t="n"/>
      <c r="H888" s="38" t="n"/>
      <c r="I888" s="38" t="n"/>
      <c r="J888" s="38" t="n"/>
    </row>
    <row r="889" ht="15" customHeight="1" s="33">
      <c r="A889" s="57">
        <f>IF(B889="","",ROW()-4)</f>
        <v/>
      </c>
      <c r="B889" s="58" t="n"/>
      <c r="C889" s="38" t="n"/>
      <c r="D889" s="38" t="n"/>
      <c r="E889" s="41" t="n"/>
      <c r="F889" s="57">
        <f>IF(D889="","",IFERROR(INDEX(Referensi!$J$5:$J$30,MATCH(D889,Referensi!$I$5:$I$30,0)),"?"))</f>
        <v/>
      </c>
      <c r="G889" s="38" t="n"/>
      <c r="H889" s="38" t="n"/>
      <c r="I889" s="38" t="n"/>
      <c r="J889" s="38" t="n"/>
    </row>
    <row r="890" ht="15" customHeight="1" s="33">
      <c r="A890" s="57">
        <f>IF(B890="","",ROW()-4)</f>
        <v/>
      </c>
      <c r="B890" s="58" t="n"/>
      <c r="C890" s="38" t="n"/>
      <c r="D890" s="38" t="n"/>
      <c r="E890" s="41" t="n"/>
      <c r="F890" s="57">
        <f>IF(D890="","",IFERROR(INDEX(Referensi!$J$5:$J$30,MATCH(D890,Referensi!$I$5:$I$30,0)),"?"))</f>
        <v/>
      </c>
      <c r="G890" s="38" t="n"/>
      <c r="H890" s="38" t="n"/>
      <c r="I890" s="38" t="n"/>
      <c r="J890" s="38" t="n"/>
    </row>
    <row r="891" ht="15" customHeight="1" s="33">
      <c r="A891" s="57">
        <f>IF(B891="","",ROW()-4)</f>
        <v/>
      </c>
      <c r="B891" s="58" t="n"/>
      <c r="C891" s="38" t="n"/>
      <c r="D891" s="38" t="n"/>
      <c r="E891" s="41" t="n"/>
      <c r="F891" s="57">
        <f>IF(D891="","",IFERROR(INDEX(Referensi!$J$5:$J$30,MATCH(D891,Referensi!$I$5:$I$30,0)),"?"))</f>
        <v/>
      </c>
      <c r="G891" s="38" t="n"/>
      <c r="H891" s="38" t="n"/>
      <c r="I891" s="38" t="n"/>
      <c r="J891" s="38" t="n"/>
    </row>
    <row r="892" ht="15" customHeight="1" s="33">
      <c r="A892" s="57">
        <f>IF(B892="","",ROW()-4)</f>
        <v/>
      </c>
      <c r="B892" s="58" t="n"/>
      <c r="C892" s="38" t="n"/>
      <c r="D892" s="38" t="n"/>
      <c r="E892" s="41" t="n"/>
      <c r="F892" s="57">
        <f>IF(D892="","",IFERROR(INDEX(Referensi!$J$5:$J$30,MATCH(D892,Referensi!$I$5:$I$30,0)),"?"))</f>
        <v/>
      </c>
      <c r="G892" s="38" t="n"/>
      <c r="H892" s="38" t="n"/>
      <c r="I892" s="38" t="n"/>
      <c r="J892" s="38" t="n"/>
    </row>
    <row r="893" ht="15" customHeight="1" s="33">
      <c r="A893" s="57">
        <f>IF(B893="","",ROW()-4)</f>
        <v/>
      </c>
      <c r="B893" s="58" t="n"/>
      <c r="C893" s="38" t="n"/>
      <c r="D893" s="38" t="n"/>
      <c r="E893" s="41" t="n"/>
      <c r="F893" s="57">
        <f>IF(D893="","",IFERROR(INDEX(Referensi!$J$5:$J$30,MATCH(D893,Referensi!$I$5:$I$30,0)),"?"))</f>
        <v/>
      </c>
      <c r="G893" s="38" t="n"/>
      <c r="H893" s="38" t="n"/>
      <c r="I893" s="38" t="n"/>
      <c r="J893" s="38" t="n"/>
    </row>
    <row r="894" ht="15" customHeight="1" s="33">
      <c r="A894" s="57">
        <f>IF(B894="","",ROW()-4)</f>
        <v/>
      </c>
      <c r="B894" s="58" t="n"/>
      <c r="C894" s="38" t="n"/>
      <c r="D894" s="38" t="n"/>
      <c r="E894" s="41" t="n"/>
      <c r="F894" s="57">
        <f>IF(D894="","",IFERROR(INDEX(Referensi!$J$5:$J$30,MATCH(D894,Referensi!$I$5:$I$30,0)),"?"))</f>
        <v/>
      </c>
      <c r="G894" s="38" t="n"/>
      <c r="H894" s="38" t="n"/>
      <c r="I894" s="38" t="n"/>
      <c r="J894" s="38" t="n"/>
    </row>
    <row r="895" ht="15" customHeight="1" s="33">
      <c r="A895" s="57">
        <f>IF(B895="","",ROW()-4)</f>
        <v/>
      </c>
      <c r="B895" s="58" t="n"/>
      <c r="C895" s="38" t="n"/>
      <c r="D895" s="38" t="n"/>
      <c r="E895" s="41" t="n"/>
      <c r="F895" s="57">
        <f>IF(D895="","",IFERROR(INDEX(Referensi!$J$5:$J$30,MATCH(D895,Referensi!$I$5:$I$30,0)),"?"))</f>
        <v/>
      </c>
      <c r="G895" s="38" t="n"/>
      <c r="H895" s="38" t="n"/>
      <c r="I895" s="38" t="n"/>
      <c r="J895" s="38" t="n"/>
    </row>
    <row r="896" ht="15" customHeight="1" s="33">
      <c r="A896" s="57">
        <f>IF(B896="","",ROW()-4)</f>
        <v/>
      </c>
      <c r="B896" s="58" t="n"/>
      <c r="C896" s="38" t="n"/>
      <c r="D896" s="38" t="n"/>
      <c r="E896" s="41" t="n"/>
      <c r="F896" s="57">
        <f>IF(D896="","",IFERROR(INDEX(Referensi!$J$5:$J$30,MATCH(D896,Referensi!$I$5:$I$30,0)),"?"))</f>
        <v/>
      </c>
      <c r="G896" s="38" t="n"/>
      <c r="H896" s="38" t="n"/>
      <c r="I896" s="38" t="n"/>
      <c r="J896" s="38" t="n"/>
    </row>
    <row r="897" ht="15" customHeight="1" s="33">
      <c r="A897" s="57">
        <f>IF(B897="","",ROW()-4)</f>
        <v/>
      </c>
      <c r="B897" s="58" t="n"/>
      <c r="C897" s="38" t="n"/>
      <c r="D897" s="38" t="n"/>
      <c r="E897" s="41" t="n"/>
      <c r="F897" s="57">
        <f>IF(D897="","",IFERROR(INDEX(Referensi!$J$5:$J$30,MATCH(D897,Referensi!$I$5:$I$30,0)),"?"))</f>
        <v/>
      </c>
      <c r="G897" s="38" t="n"/>
      <c r="H897" s="38" t="n"/>
      <c r="I897" s="38" t="n"/>
      <c r="J897" s="38" t="n"/>
    </row>
    <row r="898" ht="15" customHeight="1" s="33">
      <c r="A898" s="57">
        <f>IF(B898="","",ROW()-4)</f>
        <v/>
      </c>
      <c r="B898" s="58" t="n"/>
      <c r="C898" s="38" t="n"/>
      <c r="D898" s="38" t="n"/>
      <c r="E898" s="41" t="n"/>
      <c r="F898" s="57">
        <f>IF(D898="","",IFERROR(INDEX(Referensi!$J$5:$J$30,MATCH(D898,Referensi!$I$5:$I$30,0)),"?"))</f>
        <v/>
      </c>
      <c r="G898" s="38" t="n"/>
      <c r="H898" s="38" t="n"/>
      <c r="I898" s="38" t="n"/>
      <c r="J898" s="38" t="n"/>
    </row>
    <row r="899" ht="15" customHeight="1" s="33">
      <c r="A899" s="57">
        <f>IF(B899="","",ROW()-4)</f>
        <v/>
      </c>
      <c r="B899" s="58" t="n"/>
      <c r="C899" s="38" t="n"/>
      <c r="D899" s="38" t="n"/>
      <c r="E899" s="41" t="n"/>
      <c r="F899" s="57">
        <f>IF(D899="","",IFERROR(INDEX(Referensi!$J$5:$J$30,MATCH(D899,Referensi!$I$5:$I$30,0)),"?"))</f>
        <v/>
      </c>
      <c r="G899" s="38" t="n"/>
      <c r="H899" s="38" t="n"/>
      <c r="I899" s="38" t="n"/>
      <c r="J899" s="38" t="n"/>
    </row>
    <row r="900" ht="15" customHeight="1" s="33">
      <c r="A900" s="57">
        <f>IF(B900="","",ROW()-4)</f>
        <v/>
      </c>
      <c r="B900" s="58" t="n"/>
      <c r="C900" s="38" t="n"/>
      <c r="D900" s="38" t="n"/>
      <c r="E900" s="41" t="n"/>
      <c r="F900" s="57">
        <f>IF(D900="","",IFERROR(INDEX(Referensi!$J$5:$J$30,MATCH(D900,Referensi!$I$5:$I$30,0)),"?"))</f>
        <v/>
      </c>
      <c r="G900" s="38" t="n"/>
      <c r="H900" s="38" t="n"/>
      <c r="I900" s="38" t="n"/>
      <c r="J900" s="38" t="n"/>
    </row>
    <row r="901" ht="15" customHeight="1" s="33">
      <c r="A901" s="57">
        <f>IF(B901="","",ROW()-4)</f>
        <v/>
      </c>
      <c r="B901" s="58" t="n"/>
      <c r="C901" s="38" t="n"/>
      <c r="D901" s="38" t="n"/>
      <c r="E901" s="41" t="n"/>
      <c r="F901" s="57">
        <f>IF(D901="","",IFERROR(INDEX(Referensi!$J$5:$J$30,MATCH(D901,Referensi!$I$5:$I$30,0)),"?"))</f>
        <v/>
      </c>
      <c r="G901" s="38" t="n"/>
      <c r="H901" s="38" t="n"/>
      <c r="I901" s="38" t="n"/>
      <c r="J901" s="38" t="n"/>
    </row>
    <row r="902" ht="15" customHeight="1" s="33">
      <c r="A902" s="57">
        <f>IF(B902="","",ROW()-4)</f>
        <v/>
      </c>
      <c r="B902" s="58" t="n"/>
      <c r="C902" s="38" t="n"/>
      <c r="D902" s="38" t="n"/>
      <c r="E902" s="41" t="n"/>
      <c r="F902" s="57">
        <f>IF(D902="","",IFERROR(INDEX(Referensi!$J$5:$J$30,MATCH(D902,Referensi!$I$5:$I$30,0)),"?"))</f>
        <v/>
      </c>
      <c r="G902" s="38" t="n"/>
      <c r="H902" s="38" t="n"/>
      <c r="I902" s="38" t="n"/>
      <c r="J902" s="38" t="n"/>
    </row>
    <row r="903" ht="15" customHeight="1" s="33">
      <c r="A903" s="57">
        <f>IF(B903="","",ROW()-4)</f>
        <v/>
      </c>
      <c r="B903" s="58" t="n"/>
      <c r="C903" s="38" t="n"/>
      <c r="D903" s="38" t="n"/>
      <c r="E903" s="41" t="n"/>
      <c r="F903" s="57">
        <f>IF(D903="","",IFERROR(INDEX(Referensi!$J$5:$J$30,MATCH(D903,Referensi!$I$5:$I$30,0)),"?"))</f>
        <v/>
      </c>
      <c r="G903" s="38" t="n"/>
      <c r="H903" s="38" t="n"/>
      <c r="I903" s="38" t="n"/>
      <c r="J903" s="38" t="n"/>
    </row>
    <row r="904" ht="15" customHeight="1" s="33">
      <c r="A904" s="57">
        <f>IF(B904="","",ROW()-4)</f>
        <v/>
      </c>
      <c r="B904" s="58" t="n"/>
      <c r="C904" s="38" t="n"/>
      <c r="D904" s="38" t="n"/>
      <c r="E904" s="41" t="n"/>
      <c r="F904" s="57">
        <f>IF(D904="","",IFERROR(INDEX(Referensi!$J$5:$J$30,MATCH(D904,Referensi!$I$5:$I$30,0)),"?"))</f>
        <v/>
      </c>
      <c r="G904" s="38" t="n"/>
      <c r="H904" s="38" t="n"/>
      <c r="I904" s="38" t="n"/>
      <c r="J904" s="38" t="n"/>
    </row>
    <row r="905" ht="15" customHeight="1" s="33">
      <c r="A905" s="57">
        <f>IF(B905="","",ROW()-4)</f>
        <v/>
      </c>
      <c r="B905" s="58" t="n"/>
      <c r="C905" s="38" t="n"/>
      <c r="D905" s="38" t="n"/>
      <c r="E905" s="41" t="n"/>
      <c r="F905" s="57">
        <f>IF(D905="","",IFERROR(INDEX(Referensi!$J$5:$J$30,MATCH(D905,Referensi!$I$5:$I$30,0)),"?"))</f>
        <v/>
      </c>
      <c r="G905" s="38" t="n"/>
      <c r="H905" s="38" t="n"/>
      <c r="I905" s="38" t="n"/>
      <c r="J905" s="38" t="n"/>
    </row>
    <row r="906" ht="15" customHeight="1" s="33">
      <c r="A906" s="57">
        <f>IF(B906="","",ROW()-4)</f>
        <v/>
      </c>
      <c r="B906" s="58" t="n"/>
      <c r="C906" s="38" t="n"/>
      <c r="D906" s="38" t="n"/>
      <c r="E906" s="41" t="n"/>
      <c r="F906" s="57">
        <f>IF(D906="","",IFERROR(INDEX(Referensi!$J$5:$J$30,MATCH(D906,Referensi!$I$5:$I$30,0)),"?"))</f>
        <v/>
      </c>
      <c r="G906" s="38" t="n"/>
      <c r="H906" s="38" t="n"/>
      <c r="I906" s="38" t="n"/>
      <c r="J906" s="38" t="n"/>
    </row>
    <row r="907" ht="15" customHeight="1" s="33">
      <c r="A907" s="57">
        <f>IF(B907="","",ROW()-4)</f>
        <v/>
      </c>
      <c r="B907" s="58" t="n"/>
      <c r="C907" s="38" t="n"/>
      <c r="D907" s="38" t="n"/>
      <c r="E907" s="41" t="n"/>
      <c r="F907" s="57">
        <f>IF(D907="","",IFERROR(INDEX(Referensi!$J$5:$J$30,MATCH(D907,Referensi!$I$5:$I$30,0)),"?"))</f>
        <v/>
      </c>
      <c r="G907" s="38" t="n"/>
      <c r="H907" s="38" t="n"/>
      <c r="I907" s="38" t="n"/>
      <c r="J907" s="38" t="n"/>
    </row>
    <row r="908" ht="15" customHeight="1" s="33">
      <c r="A908" s="57">
        <f>IF(B908="","",ROW()-4)</f>
        <v/>
      </c>
      <c r="B908" s="58" t="n"/>
      <c r="C908" s="38" t="n"/>
      <c r="D908" s="38" t="n"/>
      <c r="E908" s="41" t="n"/>
      <c r="F908" s="57">
        <f>IF(D908="","",IFERROR(INDEX(Referensi!$J$5:$J$30,MATCH(D908,Referensi!$I$5:$I$30,0)),"?"))</f>
        <v/>
      </c>
      <c r="G908" s="38" t="n"/>
      <c r="H908" s="38" t="n"/>
      <c r="I908" s="38" t="n"/>
      <c r="J908" s="38" t="n"/>
    </row>
    <row r="909" ht="15" customHeight="1" s="33">
      <c r="A909" s="57">
        <f>IF(B909="","",ROW()-4)</f>
        <v/>
      </c>
      <c r="B909" s="58" t="n"/>
      <c r="C909" s="38" t="n"/>
      <c r="D909" s="38" t="n"/>
      <c r="E909" s="41" t="n"/>
      <c r="F909" s="57">
        <f>IF(D909="","",IFERROR(INDEX(Referensi!$J$5:$J$30,MATCH(D909,Referensi!$I$5:$I$30,0)),"?"))</f>
        <v/>
      </c>
      <c r="G909" s="38" t="n"/>
      <c r="H909" s="38" t="n"/>
      <c r="I909" s="38" t="n"/>
      <c r="J909" s="38" t="n"/>
    </row>
    <row r="910" ht="15" customHeight="1" s="33">
      <c r="A910" s="57">
        <f>IF(B910="","",ROW()-4)</f>
        <v/>
      </c>
      <c r="B910" s="58" t="n"/>
      <c r="C910" s="38" t="n"/>
      <c r="D910" s="38" t="n"/>
      <c r="E910" s="41" t="n"/>
      <c r="F910" s="57">
        <f>IF(D910="","",IFERROR(INDEX(Referensi!$J$5:$J$30,MATCH(D910,Referensi!$I$5:$I$30,0)),"?"))</f>
        <v/>
      </c>
      <c r="G910" s="38" t="n"/>
      <c r="H910" s="38" t="n"/>
      <c r="I910" s="38" t="n"/>
      <c r="J910" s="38" t="n"/>
    </row>
    <row r="911" ht="15" customHeight="1" s="33">
      <c r="A911" s="57">
        <f>IF(B911="","",ROW()-4)</f>
        <v/>
      </c>
      <c r="B911" s="58" t="n"/>
      <c r="C911" s="38" t="n"/>
      <c r="D911" s="38" t="n"/>
      <c r="E911" s="41" t="n"/>
      <c r="F911" s="57">
        <f>IF(D911="","",IFERROR(INDEX(Referensi!$J$5:$J$30,MATCH(D911,Referensi!$I$5:$I$30,0)),"?"))</f>
        <v/>
      </c>
      <c r="G911" s="38" t="n"/>
      <c r="H911" s="38" t="n"/>
      <c r="I911" s="38" t="n"/>
      <c r="J911" s="38" t="n"/>
    </row>
    <row r="912" ht="15" customHeight="1" s="33">
      <c r="A912" s="57">
        <f>IF(B912="","",ROW()-4)</f>
        <v/>
      </c>
      <c r="B912" s="58" t="n"/>
      <c r="C912" s="38" t="n"/>
      <c r="D912" s="38" t="n"/>
      <c r="E912" s="41" t="n"/>
      <c r="F912" s="57">
        <f>IF(D912="","",IFERROR(INDEX(Referensi!$J$5:$J$30,MATCH(D912,Referensi!$I$5:$I$30,0)),"?"))</f>
        <v/>
      </c>
      <c r="G912" s="38" t="n"/>
      <c r="H912" s="38" t="n"/>
      <c r="I912" s="38" t="n"/>
      <c r="J912" s="38" t="n"/>
    </row>
    <row r="913" ht="15" customHeight="1" s="33">
      <c r="A913" s="57">
        <f>IF(B913="","",ROW()-4)</f>
        <v/>
      </c>
      <c r="B913" s="58" t="n"/>
      <c r="C913" s="38" t="n"/>
      <c r="D913" s="38" t="n"/>
      <c r="E913" s="41" t="n"/>
      <c r="F913" s="57">
        <f>IF(D913="","",IFERROR(INDEX(Referensi!$J$5:$J$30,MATCH(D913,Referensi!$I$5:$I$30,0)),"?"))</f>
        <v/>
      </c>
      <c r="G913" s="38" t="n"/>
      <c r="H913" s="38" t="n"/>
      <c r="I913" s="38" t="n"/>
      <c r="J913" s="38" t="n"/>
    </row>
    <row r="914" ht="15" customHeight="1" s="33">
      <c r="A914" s="57">
        <f>IF(B914="","",ROW()-4)</f>
        <v/>
      </c>
      <c r="B914" s="58" t="n"/>
      <c r="C914" s="38" t="n"/>
      <c r="D914" s="38" t="n"/>
      <c r="E914" s="41" t="n"/>
      <c r="F914" s="57">
        <f>IF(D914="","",IFERROR(INDEX(Referensi!$J$5:$J$30,MATCH(D914,Referensi!$I$5:$I$30,0)),"?"))</f>
        <v/>
      </c>
      <c r="G914" s="38" t="n"/>
      <c r="H914" s="38" t="n"/>
      <c r="I914" s="38" t="n"/>
      <c r="J914" s="38" t="n"/>
    </row>
    <row r="915" ht="15" customHeight="1" s="33">
      <c r="A915" s="57">
        <f>IF(B915="","",ROW()-4)</f>
        <v/>
      </c>
      <c r="B915" s="58" t="n"/>
      <c r="C915" s="38" t="n"/>
      <c r="D915" s="38" t="n"/>
      <c r="E915" s="41" t="n"/>
      <c r="F915" s="57">
        <f>IF(D915="","",IFERROR(INDEX(Referensi!$J$5:$J$30,MATCH(D915,Referensi!$I$5:$I$30,0)),"?"))</f>
        <v/>
      </c>
      <c r="G915" s="38" t="n"/>
      <c r="H915" s="38" t="n"/>
      <c r="I915" s="38" t="n"/>
      <c r="J915" s="38" t="n"/>
    </row>
    <row r="916" ht="15" customHeight="1" s="33">
      <c r="A916" s="57">
        <f>IF(B916="","",ROW()-4)</f>
        <v/>
      </c>
      <c r="B916" s="58" t="n"/>
      <c r="C916" s="38" t="n"/>
      <c r="D916" s="38" t="n"/>
      <c r="E916" s="41" t="n"/>
      <c r="F916" s="57">
        <f>IF(D916="","",IFERROR(INDEX(Referensi!$J$5:$J$30,MATCH(D916,Referensi!$I$5:$I$30,0)),"?"))</f>
        <v/>
      </c>
      <c r="G916" s="38" t="n"/>
      <c r="H916" s="38" t="n"/>
      <c r="I916" s="38" t="n"/>
      <c r="J916" s="38" t="n"/>
    </row>
    <row r="917" ht="15" customHeight="1" s="33">
      <c r="A917" s="57">
        <f>IF(B917="","",ROW()-4)</f>
        <v/>
      </c>
      <c r="B917" s="58" t="n"/>
      <c r="C917" s="38" t="n"/>
      <c r="D917" s="38" t="n"/>
      <c r="E917" s="41" t="n"/>
      <c r="F917" s="57">
        <f>IF(D917="","",IFERROR(INDEX(Referensi!$J$5:$J$30,MATCH(D917,Referensi!$I$5:$I$30,0)),"?"))</f>
        <v/>
      </c>
      <c r="G917" s="38" t="n"/>
      <c r="H917" s="38" t="n"/>
      <c r="I917" s="38" t="n"/>
      <c r="J917" s="38" t="n"/>
    </row>
    <row r="918" ht="15" customHeight="1" s="33">
      <c r="A918" s="57">
        <f>IF(B918="","",ROW()-4)</f>
        <v/>
      </c>
      <c r="B918" s="58" t="n"/>
      <c r="C918" s="38" t="n"/>
      <c r="D918" s="38" t="n"/>
      <c r="E918" s="41" t="n"/>
      <c r="F918" s="57">
        <f>IF(D918="","",IFERROR(INDEX(Referensi!$J$5:$J$30,MATCH(D918,Referensi!$I$5:$I$30,0)),"?"))</f>
        <v/>
      </c>
      <c r="G918" s="38" t="n"/>
      <c r="H918" s="38" t="n"/>
      <c r="I918" s="38" t="n"/>
      <c r="J918" s="38" t="n"/>
    </row>
    <row r="919" ht="15" customHeight="1" s="33">
      <c r="A919" s="57">
        <f>IF(B919="","",ROW()-4)</f>
        <v/>
      </c>
      <c r="B919" s="58" t="n"/>
      <c r="C919" s="38" t="n"/>
      <c r="D919" s="38" t="n"/>
      <c r="E919" s="41" t="n"/>
      <c r="F919" s="57">
        <f>IF(D919="","",IFERROR(INDEX(Referensi!$J$5:$J$30,MATCH(D919,Referensi!$I$5:$I$30,0)),"?"))</f>
        <v/>
      </c>
      <c r="G919" s="38" t="n"/>
      <c r="H919" s="38" t="n"/>
      <c r="I919" s="38" t="n"/>
      <c r="J919" s="38" t="n"/>
    </row>
    <row r="920" ht="15" customHeight="1" s="33">
      <c r="A920" s="57">
        <f>IF(B920="","",ROW()-4)</f>
        <v/>
      </c>
      <c r="B920" s="58" t="n"/>
      <c r="C920" s="38" t="n"/>
      <c r="D920" s="38" t="n"/>
      <c r="E920" s="41" t="n"/>
      <c r="F920" s="57">
        <f>IF(D920="","",IFERROR(INDEX(Referensi!$J$5:$J$30,MATCH(D920,Referensi!$I$5:$I$30,0)),"?"))</f>
        <v/>
      </c>
      <c r="G920" s="38" t="n"/>
      <c r="H920" s="38" t="n"/>
      <c r="I920" s="38" t="n"/>
      <c r="J920" s="38" t="n"/>
    </row>
    <row r="921" ht="15" customHeight="1" s="33">
      <c r="A921" s="57">
        <f>IF(B921="","",ROW()-4)</f>
        <v/>
      </c>
      <c r="B921" s="58" t="n"/>
      <c r="C921" s="38" t="n"/>
      <c r="D921" s="38" t="n"/>
      <c r="E921" s="41" t="n"/>
      <c r="F921" s="57">
        <f>IF(D921="","",IFERROR(INDEX(Referensi!$J$5:$J$30,MATCH(D921,Referensi!$I$5:$I$30,0)),"?"))</f>
        <v/>
      </c>
      <c r="G921" s="38" t="n"/>
      <c r="H921" s="38" t="n"/>
      <c r="I921" s="38" t="n"/>
      <c r="J921" s="38" t="n"/>
    </row>
    <row r="922" ht="15" customHeight="1" s="33">
      <c r="A922" s="57">
        <f>IF(B922="","",ROW()-4)</f>
        <v/>
      </c>
      <c r="B922" s="58" t="n"/>
      <c r="C922" s="38" t="n"/>
      <c r="D922" s="38" t="n"/>
      <c r="E922" s="41" t="n"/>
      <c r="F922" s="57">
        <f>IF(D922="","",IFERROR(INDEX(Referensi!$J$5:$J$30,MATCH(D922,Referensi!$I$5:$I$30,0)),"?"))</f>
        <v/>
      </c>
      <c r="G922" s="38" t="n"/>
      <c r="H922" s="38" t="n"/>
      <c r="I922" s="38" t="n"/>
      <c r="J922" s="38" t="n"/>
    </row>
    <row r="923" ht="15" customHeight="1" s="33">
      <c r="A923" s="57">
        <f>IF(B923="","",ROW()-4)</f>
        <v/>
      </c>
      <c r="B923" s="58" t="n"/>
      <c r="C923" s="38" t="n"/>
      <c r="D923" s="38" t="n"/>
      <c r="E923" s="41" t="n"/>
      <c r="F923" s="57">
        <f>IF(D923="","",IFERROR(INDEX(Referensi!$J$5:$J$30,MATCH(D923,Referensi!$I$5:$I$30,0)),"?"))</f>
        <v/>
      </c>
      <c r="G923" s="38" t="n"/>
      <c r="H923" s="38" t="n"/>
      <c r="I923" s="38" t="n"/>
      <c r="J923" s="38" t="n"/>
    </row>
    <row r="924" ht="15" customHeight="1" s="33">
      <c r="A924" s="57">
        <f>IF(B924="","",ROW()-4)</f>
        <v/>
      </c>
      <c r="B924" s="58" t="n"/>
      <c r="C924" s="38" t="n"/>
      <c r="D924" s="38" t="n"/>
      <c r="E924" s="41" t="n"/>
      <c r="F924" s="57">
        <f>IF(D924="","",IFERROR(INDEX(Referensi!$J$5:$J$30,MATCH(D924,Referensi!$I$5:$I$30,0)),"?"))</f>
        <v/>
      </c>
      <c r="G924" s="38" t="n"/>
      <c r="H924" s="38" t="n"/>
      <c r="I924" s="38" t="n"/>
      <c r="J924" s="38" t="n"/>
    </row>
    <row r="925" ht="15" customHeight="1" s="33">
      <c r="A925" s="57">
        <f>IF(B925="","",ROW()-4)</f>
        <v/>
      </c>
      <c r="B925" s="58" t="n"/>
      <c r="C925" s="38" t="n"/>
      <c r="D925" s="38" t="n"/>
      <c r="E925" s="41" t="n"/>
      <c r="F925" s="57">
        <f>IF(D925="","",IFERROR(INDEX(Referensi!$J$5:$J$30,MATCH(D925,Referensi!$I$5:$I$30,0)),"?"))</f>
        <v/>
      </c>
      <c r="G925" s="38" t="n"/>
      <c r="H925" s="38" t="n"/>
      <c r="I925" s="38" t="n"/>
      <c r="J925" s="38" t="n"/>
    </row>
    <row r="926" ht="15" customHeight="1" s="33">
      <c r="A926" s="57">
        <f>IF(B926="","",ROW()-4)</f>
        <v/>
      </c>
      <c r="B926" s="58" t="n"/>
      <c r="C926" s="38" t="n"/>
      <c r="D926" s="38" t="n"/>
      <c r="E926" s="41" t="n"/>
      <c r="F926" s="57">
        <f>IF(D926="","",IFERROR(INDEX(Referensi!$J$5:$J$30,MATCH(D926,Referensi!$I$5:$I$30,0)),"?"))</f>
        <v/>
      </c>
      <c r="G926" s="38" t="n"/>
      <c r="H926" s="38" t="n"/>
      <c r="I926" s="38" t="n"/>
      <c r="J926" s="38" t="n"/>
    </row>
    <row r="927" ht="15" customHeight="1" s="33">
      <c r="A927" s="57">
        <f>IF(B927="","",ROW()-4)</f>
        <v/>
      </c>
      <c r="B927" s="58" t="n"/>
      <c r="C927" s="38" t="n"/>
      <c r="D927" s="38" t="n"/>
      <c r="E927" s="41" t="n"/>
      <c r="F927" s="57">
        <f>IF(D927="","",IFERROR(INDEX(Referensi!$J$5:$J$30,MATCH(D927,Referensi!$I$5:$I$30,0)),"?"))</f>
        <v/>
      </c>
      <c r="G927" s="38" t="n"/>
      <c r="H927" s="38" t="n"/>
      <c r="I927" s="38" t="n"/>
      <c r="J927" s="38" t="n"/>
    </row>
    <row r="928" ht="15" customHeight="1" s="33">
      <c r="A928" s="57">
        <f>IF(B928="","",ROW()-4)</f>
        <v/>
      </c>
      <c r="B928" s="58" t="n"/>
      <c r="C928" s="38" t="n"/>
      <c r="D928" s="38" t="n"/>
      <c r="E928" s="41" t="n"/>
      <c r="F928" s="57">
        <f>IF(D928="","",IFERROR(INDEX(Referensi!$J$5:$J$30,MATCH(D928,Referensi!$I$5:$I$30,0)),"?"))</f>
        <v/>
      </c>
      <c r="G928" s="38" t="n"/>
      <c r="H928" s="38" t="n"/>
      <c r="I928" s="38" t="n"/>
      <c r="J928" s="38" t="n"/>
    </row>
    <row r="929" ht="15" customHeight="1" s="33">
      <c r="A929" s="57">
        <f>IF(B929="","",ROW()-4)</f>
        <v/>
      </c>
      <c r="B929" s="58" t="n"/>
      <c r="C929" s="38" t="n"/>
      <c r="D929" s="38" t="n"/>
      <c r="E929" s="41" t="n"/>
      <c r="F929" s="57">
        <f>IF(D929="","",IFERROR(INDEX(Referensi!$J$5:$J$30,MATCH(D929,Referensi!$I$5:$I$30,0)),"?"))</f>
        <v/>
      </c>
      <c r="G929" s="38" t="n"/>
      <c r="H929" s="38" t="n"/>
      <c r="I929" s="38" t="n"/>
      <c r="J929" s="38" t="n"/>
    </row>
    <row r="930" ht="15" customHeight="1" s="33">
      <c r="A930" s="57">
        <f>IF(B930="","",ROW()-4)</f>
        <v/>
      </c>
      <c r="B930" s="58" t="n"/>
      <c r="C930" s="38" t="n"/>
      <c r="D930" s="38" t="n"/>
      <c r="E930" s="41" t="n"/>
      <c r="F930" s="57">
        <f>IF(D930="","",IFERROR(INDEX(Referensi!$J$5:$J$30,MATCH(D930,Referensi!$I$5:$I$30,0)),"?"))</f>
        <v/>
      </c>
      <c r="G930" s="38" t="n"/>
      <c r="H930" s="38" t="n"/>
      <c r="I930" s="38" t="n"/>
      <c r="J930" s="38" t="n"/>
    </row>
    <row r="931" ht="15" customHeight="1" s="33">
      <c r="A931" s="57">
        <f>IF(B931="","",ROW()-4)</f>
        <v/>
      </c>
      <c r="B931" s="58" t="n"/>
      <c r="C931" s="38" t="n"/>
      <c r="D931" s="38" t="n"/>
      <c r="E931" s="41" t="n"/>
      <c r="F931" s="57">
        <f>IF(D931="","",IFERROR(INDEX(Referensi!$J$5:$J$30,MATCH(D931,Referensi!$I$5:$I$30,0)),"?"))</f>
        <v/>
      </c>
      <c r="G931" s="38" t="n"/>
      <c r="H931" s="38" t="n"/>
      <c r="I931" s="38" t="n"/>
      <c r="J931" s="38" t="n"/>
    </row>
    <row r="932" ht="15" customHeight="1" s="33">
      <c r="A932" s="57">
        <f>IF(B932="","",ROW()-4)</f>
        <v/>
      </c>
      <c r="B932" s="58" t="n"/>
      <c r="C932" s="38" t="n"/>
      <c r="D932" s="38" t="n"/>
      <c r="E932" s="41" t="n"/>
      <c r="F932" s="57">
        <f>IF(D932="","",IFERROR(INDEX(Referensi!$J$5:$J$30,MATCH(D932,Referensi!$I$5:$I$30,0)),"?"))</f>
        <v/>
      </c>
      <c r="G932" s="38" t="n"/>
      <c r="H932" s="38" t="n"/>
      <c r="I932" s="38" t="n"/>
      <c r="J932" s="38" t="n"/>
    </row>
    <row r="933" ht="15" customHeight="1" s="33">
      <c r="A933" s="57">
        <f>IF(B933="","",ROW()-4)</f>
        <v/>
      </c>
      <c r="B933" s="58" t="n"/>
      <c r="C933" s="38" t="n"/>
      <c r="D933" s="38" t="n"/>
      <c r="E933" s="41" t="n"/>
      <c r="F933" s="57">
        <f>IF(D933="","",IFERROR(INDEX(Referensi!$J$5:$J$30,MATCH(D933,Referensi!$I$5:$I$30,0)),"?"))</f>
        <v/>
      </c>
      <c r="G933" s="38" t="n"/>
      <c r="H933" s="38" t="n"/>
      <c r="I933" s="38" t="n"/>
      <c r="J933" s="38" t="n"/>
    </row>
    <row r="934" ht="15" customHeight="1" s="33">
      <c r="A934" s="57">
        <f>IF(B934="","",ROW()-4)</f>
        <v/>
      </c>
      <c r="B934" s="58" t="n"/>
      <c r="C934" s="38" t="n"/>
      <c r="D934" s="38" t="n"/>
      <c r="E934" s="41" t="n"/>
      <c r="F934" s="57">
        <f>IF(D934="","",IFERROR(INDEX(Referensi!$J$5:$J$30,MATCH(D934,Referensi!$I$5:$I$30,0)),"?"))</f>
        <v/>
      </c>
      <c r="G934" s="38" t="n"/>
      <c r="H934" s="38" t="n"/>
      <c r="I934" s="38" t="n"/>
      <c r="J934" s="38" t="n"/>
    </row>
    <row r="935" ht="15" customHeight="1" s="33">
      <c r="A935" s="57">
        <f>IF(B935="","",ROW()-4)</f>
        <v/>
      </c>
      <c r="B935" s="58" t="n"/>
      <c r="C935" s="38" t="n"/>
      <c r="D935" s="38" t="n"/>
      <c r="E935" s="41" t="n"/>
      <c r="F935" s="57">
        <f>IF(D935="","",IFERROR(INDEX(Referensi!$J$5:$J$30,MATCH(D935,Referensi!$I$5:$I$30,0)),"?"))</f>
        <v/>
      </c>
      <c r="G935" s="38" t="n"/>
      <c r="H935" s="38" t="n"/>
      <c r="I935" s="38" t="n"/>
      <c r="J935" s="38" t="n"/>
    </row>
    <row r="936" ht="15" customHeight="1" s="33">
      <c r="A936" s="57">
        <f>IF(B936="","",ROW()-4)</f>
        <v/>
      </c>
      <c r="B936" s="58" t="n"/>
      <c r="C936" s="38" t="n"/>
      <c r="D936" s="38" t="n"/>
      <c r="E936" s="41" t="n"/>
      <c r="F936" s="57">
        <f>IF(D936="","",IFERROR(INDEX(Referensi!$J$5:$J$30,MATCH(D936,Referensi!$I$5:$I$30,0)),"?"))</f>
        <v/>
      </c>
      <c r="G936" s="38" t="n"/>
      <c r="H936" s="38" t="n"/>
      <c r="I936" s="38" t="n"/>
      <c r="J936" s="38" t="n"/>
    </row>
    <row r="937" ht="15" customHeight="1" s="33">
      <c r="A937" s="57">
        <f>IF(B937="","",ROW()-4)</f>
        <v/>
      </c>
      <c r="B937" s="58" t="n"/>
      <c r="C937" s="38" t="n"/>
      <c r="D937" s="38" t="n"/>
      <c r="E937" s="41" t="n"/>
      <c r="F937" s="57">
        <f>IF(D937="","",IFERROR(INDEX(Referensi!$J$5:$J$30,MATCH(D937,Referensi!$I$5:$I$30,0)),"?"))</f>
        <v/>
      </c>
      <c r="G937" s="38" t="n"/>
      <c r="H937" s="38" t="n"/>
      <c r="I937" s="38" t="n"/>
      <c r="J937" s="38" t="n"/>
    </row>
    <row r="938" ht="15" customHeight="1" s="33">
      <c r="A938" s="57">
        <f>IF(B938="","",ROW()-4)</f>
        <v/>
      </c>
      <c r="B938" s="58" t="n"/>
      <c r="C938" s="38" t="n"/>
      <c r="D938" s="38" t="n"/>
      <c r="E938" s="41" t="n"/>
      <c r="F938" s="57">
        <f>IF(D938="","",IFERROR(INDEX(Referensi!$J$5:$J$30,MATCH(D938,Referensi!$I$5:$I$30,0)),"?"))</f>
        <v/>
      </c>
      <c r="G938" s="38" t="n"/>
      <c r="H938" s="38" t="n"/>
      <c r="I938" s="38" t="n"/>
      <c r="J938" s="38" t="n"/>
    </row>
    <row r="939" ht="15" customHeight="1" s="33">
      <c r="A939" s="57">
        <f>IF(B939="","",ROW()-4)</f>
        <v/>
      </c>
      <c r="B939" s="58" t="n"/>
      <c r="C939" s="38" t="n"/>
      <c r="D939" s="38" t="n"/>
      <c r="E939" s="41" t="n"/>
      <c r="F939" s="57">
        <f>IF(D939="","",IFERROR(INDEX(Referensi!$J$5:$J$30,MATCH(D939,Referensi!$I$5:$I$30,0)),"?"))</f>
        <v/>
      </c>
      <c r="G939" s="38" t="n"/>
      <c r="H939" s="38" t="n"/>
      <c r="I939" s="38" t="n"/>
      <c r="J939" s="38" t="n"/>
    </row>
    <row r="940" ht="15" customHeight="1" s="33">
      <c r="A940" s="57">
        <f>IF(B940="","",ROW()-4)</f>
        <v/>
      </c>
      <c r="B940" s="58" t="n"/>
      <c r="C940" s="38" t="n"/>
      <c r="D940" s="38" t="n"/>
      <c r="E940" s="41" t="n"/>
      <c r="F940" s="57">
        <f>IF(D940="","",IFERROR(INDEX(Referensi!$J$5:$J$30,MATCH(D940,Referensi!$I$5:$I$30,0)),"?"))</f>
        <v/>
      </c>
      <c r="G940" s="38" t="n"/>
      <c r="H940" s="38" t="n"/>
      <c r="I940" s="38" t="n"/>
      <c r="J940" s="38" t="n"/>
    </row>
    <row r="941" ht="15" customHeight="1" s="33">
      <c r="A941" s="57">
        <f>IF(B941="","",ROW()-4)</f>
        <v/>
      </c>
      <c r="B941" s="58" t="n"/>
      <c r="C941" s="38" t="n"/>
      <c r="D941" s="38" t="n"/>
      <c r="E941" s="41" t="n"/>
      <c r="F941" s="57">
        <f>IF(D941="","",IFERROR(INDEX(Referensi!$J$5:$J$30,MATCH(D941,Referensi!$I$5:$I$30,0)),"?"))</f>
        <v/>
      </c>
      <c r="G941" s="38" t="n"/>
      <c r="H941" s="38" t="n"/>
      <c r="I941" s="38" t="n"/>
      <c r="J941" s="38" t="n"/>
    </row>
    <row r="942" ht="15" customHeight="1" s="33">
      <c r="A942" s="57">
        <f>IF(B942="","",ROW()-4)</f>
        <v/>
      </c>
      <c r="B942" s="58" t="n"/>
      <c r="C942" s="38" t="n"/>
      <c r="D942" s="38" t="n"/>
      <c r="E942" s="41" t="n"/>
      <c r="F942" s="57">
        <f>IF(D942="","",IFERROR(INDEX(Referensi!$J$5:$J$30,MATCH(D942,Referensi!$I$5:$I$30,0)),"?"))</f>
        <v/>
      </c>
      <c r="G942" s="38" t="n"/>
      <c r="H942" s="38" t="n"/>
      <c r="I942" s="38" t="n"/>
      <c r="J942" s="38" t="n"/>
    </row>
    <row r="943" ht="15" customHeight="1" s="33">
      <c r="A943" s="57">
        <f>IF(B943="","",ROW()-4)</f>
        <v/>
      </c>
      <c r="B943" s="58" t="n"/>
      <c r="C943" s="38" t="n"/>
      <c r="D943" s="38" t="n"/>
      <c r="E943" s="41" t="n"/>
      <c r="F943" s="57">
        <f>IF(D943="","",IFERROR(INDEX(Referensi!$J$5:$J$30,MATCH(D943,Referensi!$I$5:$I$30,0)),"?"))</f>
        <v/>
      </c>
      <c r="G943" s="38" t="n"/>
      <c r="H943" s="38" t="n"/>
      <c r="I943" s="38" t="n"/>
      <c r="J943" s="38" t="n"/>
    </row>
    <row r="944" ht="15" customHeight="1" s="33">
      <c r="A944" s="57">
        <f>IF(B944="","",ROW()-4)</f>
        <v/>
      </c>
      <c r="B944" s="58" t="n"/>
      <c r="C944" s="38" t="n"/>
      <c r="D944" s="38" t="n"/>
      <c r="E944" s="41" t="n"/>
      <c r="F944" s="57">
        <f>IF(D944="","",IFERROR(INDEX(Referensi!$J$5:$J$30,MATCH(D944,Referensi!$I$5:$I$30,0)),"?"))</f>
        <v/>
      </c>
      <c r="G944" s="38" t="n"/>
      <c r="H944" s="38" t="n"/>
      <c r="I944" s="38" t="n"/>
      <c r="J944" s="38" t="n"/>
    </row>
    <row r="945" ht="15" customHeight="1" s="33">
      <c r="A945" s="57">
        <f>IF(B945="","",ROW()-4)</f>
        <v/>
      </c>
      <c r="B945" s="58" t="n"/>
      <c r="C945" s="38" t="n"/>
      <c r="D945" s="38" t="n"/>
      <c r="E945" s="41" t="n"/>
      <c r="F945" s="57">
        <f>IF(D945="","",IFERROR(INDEX(Referensi!$J$5:$J$30,MATCH(D945,Referensi!$I$5:$I$30,0)),"?"))</f>
        <v/>
      </c>
      <c r="G945" s="38" t="n"/>
      <c r="H945" s="38" t="n"/>
      <c r="I945" s="38" t="n"/>
      <c r="J945" s="38" t="n"/>
    </row>
    <row r="946" ht="15" customHeight="1" s="33">
      <c r="A946" s="57">
        <f>IF(B946="","",ROW()-4)</f>
        <v/>
      </c>
      <c r="B946" s="58" t="n"/>
      <c r="C946" s="38" t="n"/>
      <c r="D946" s="38" t="n"/>
      <c r="E946" s="41" t="n"/>
      <c r="F946" s="57">
        <f>IF(D946="","",IFERROR(INDEX(Referensi!$J$5:$J$30,MATCH(D946,Referensi!$I$5:$I$30,0)),"?"))</f>
        <v/>
      </c>
      <c r="G946" s="38" t="n"/>
      <c r="H946" s="38" t="n"/>
      <c r="I946" s="38" t="n"/>
      <c r="J946" s="38" t="n"/>
    </row>
    <row r="947" ht="15" customHeight="1" s="33">
      <c r="A947" s="57">
        <f>IF(B947="","",ROW()-4)</f>
        <v/>
      </c>
      <c r="B947" s="58" t="n"/>
      <c r="C947" s="38" t="n"/>
      <c r="D947" s="38" t="n"/>
      <c r="E947" s="41" t="n"/>
      <c r="F947" s="57">
        <f>IF(D947="","",IFERROR(INDEX(Referensi!$J$5:$J$30,MATCH(D947,Referensi!$I$5:$I$30,0)),"?"))</f>
        <v/>
      </c>
      <c r="G947" s="38" t="n"/>
      <c r="H947" s="38" t="n"/>
      <c r="I947" s="38" t="n"/>
      <c r="J947" s="38" t="n"/>
    </row>
    <row r="948" ht="15" customHeight="1" s="33">
      <c r="A948" s="57">
        <f>IF(B948="","",ROW()-4)</f>
        <v/>
      </c>
      <c r="B948" s="58" t="n"/>
      <c r="C948" s="38" t="n"/>
      <c r="D948" s="38" t="n"/>
      <c r="E948" s="41" t="n"/>
      <c r="F948" s="57">
        <f>IF(D948="","",IFERROR(INDEX(Referensi!$J$5:$J$30,MATCH(D948,Referensi!$I$5:$I$30,0)),"?"))</f>
        <v/>
      </c>
      <c r="G948" s="38" t="n"/>
      <c r="H948" s="38" t="n"/>
      <c r="I948" s="38" t="n"/>
      <c r="J948" s="38" t="n"/>
    </row>
    <row r="949" ht="15" customHeight="1" s="33">
      <c r="A949" s="57">
        <f>IF(B949="","",ROW()-4)</f>
        <v/>
      </c>
      <c r="B949" s="58" t="n"/>
      <c r="C949" s="38" t="n"/>
      <c r="D949" s="38" t="n"/>
      <c r="E949" s="41" t="n"/>
      <c r="F949" s="57">
        <f>IF(D949="","",IFERROR(INDEX(Referensi!$J$5:$J$30,MATCH(D949,Referensi!$I$5:$I$30,0)),"?"))</f>
        <v/>
      </c>
      <c r="G949" s="38" t="n"/>
      <c r="H949" s="38" t="n"/>
      <c r="I949" s="38" t="n"/>
      <c r="J949" s="38" t="n"/>
    </row>
    <row r="950" ht="15" customHeight="1" s="33">
      <c r="A950" s="57">
        <f>IF(B950="","",ROW()-4)</f>
        <v/>
      </c>
      <c r="B950" s="58" t="n"/>
      <c r="C950" s="38" t="n"/>
      <c r="D950" s="38" t="n"/>
      <c r="E950" s="41" t="n"/>
      <c r="F950" s="57">
        <f>IF(D950="","",IFERROR(INDEX(Referensi!$J$5:$J$30,MATCH(D950,Referensi!$I$5:$I$30,0)),"?"))</f>
        <v/>
      </c>
      <c r="G950" s="38" t="n"/>
      <c r="H950" s="38" t="n"/>
      <c r="I950" s="38" t="n"/>
      <c r="J950" s="38" t="n"/>
    </row>
    <row r="951" ht="15" customHeight="1" s="33">
      <c r="A951" s="57">
        <f>IF(B951="","",ROW()-4)</f>
        <v/>
      </c>
      <c r="B951" s="58" t="n"/>
      <c r="C951" s="38" t="n"/>
      <c r="D951" s="38" t="n"/>
      <c r="E951" s="41" t="n"/>
      <c r="F951" s="57">
        <f>IF(D951="","",IFERROR(INDEX(Referensi!$J$5:$J$30,MATCH(D951,Referensi!$I$5:$I$30,0)),"?"))</f>
        <v/>
      </c>
      <c r="G951" s="38" t="n"/>
      <c r="H951" s="38" t="n"/>
      <c r="I951" s="38" t="n"/>
      <c r="J951" s="38" t="n"/>
    </row>
    <row r="952" ht="15" customHeight="1" s="33">
      <c r="A952" s="57">
        <f>IF(B952="","",ROW()-4)</f>
        <v/>
      </c>
      <c r="B952" s="58" t="n"/>
      <c r="C952" s="38" t="n"/>
      <c r="D952" s="38" t="n"/>
      <c r="E952" s="41" t="n"/>
      <c r="F952" s="57">
        <f>IF(D952="","",IFERROR(INDEX(Referensi!$J$5:$J$30,MATCH(D952,Referensi!$I$5:$I$30,0)),"?"))</f>
        <v/>
      </c>
      <c r="G952" s="38" t="n"/>
      <c r="H952" s="38" t="n"/>
      <c r="I952" s="38" t="n"/>
      <c r="J952" s="38" t="n"/>
    </row>
    <row r="953" ht="15" customHeight="1" s="33">
      <c r="A953" s="57">
        <f>IF(B953="","",ROW()-4)</f>
        <v/>
      </c>
      <c r="B953" s="58" t="n"/>
      <c r="C953" s="38" t="n"/>
      <c r="D953" s="38" t="n"/>
      <c r="E953" s="41" t="n"/>
      <c r="F953" s="57">
        <f>IF(D953="","",IFERROR(INDEX(Referensi!$J$5:$J$30,MATCH(D953,Referensi!$I$5:$I$30,0)),"?"))</f>
        <v/>
      </c>
      <c r="G953" s="38" t="n"/>
      <c r="H953" s="38" t="n"/>
      <c r="I953" s="38" t="n"/>
      <c r="J953" s="38" t="n"/>
    </row>
    <row r="954" ht="15" customHeight="1" s="33">
      <c r="A954" s="57">
        <f>IF(B954="","",ROW()-4)</f>
        <v/>
      </c>
      <c r="B954" s="58" t="n"/>
      <c r="C954" s="38" t="n"/>
      <c r="D954" s="38" t="n"/>
      <c r="E954" s="41" t="n"/>
      <c r="F954" s="57">
        <f>IF(D954="","",IFERROR(INDEX(Referensi!$J$5:$J$30,MATCH(D954,Referensi!$I$5:$I$30,0)),"?"))</f>
        <v/>
      </c>
      <c r="G954" s="38" t="n"/>
      <c r="H954" s="38" t="n"/>
      <c r="I954" s="38" t="n"/>
      <c r="J954" s="38" t="n"/>
    </row>
    <row r="955" ht="15" customHeight="1" s="33">
      <c r="A955" s="57">
        <f>IF(B955="","",ROW()-4)</f>
        <v/>
      </c>
      <c r="B955" s="58" t="n"/>
      <c r="C955" s="38" t="n"/>
      <c r="D955" s="38" t="n"/>
      <c r="E955" s="41" t="n"/>
      <c r="F955" s="57">
        <f>IF(D955="","",IFERROR(INDEX(Referensi!$J$5:$J$30,MATCH(D955,Referensi!$I$5:$I$30,0)),"?"))</f>
        <v/>
      </c>
      <c r="G955" s="38" t="n"/>
      <c r="H955" s="38" t="n"/>
      <c r="I955" s="38" t="n"/>
      <c r="J955" s="38" t="n"/>
    </row>
    <row r="956" ht="15" customHeight="1" s="33">
      <c r="A956" s="57">
        <f>IF(B956="","",ROW()-4)</f>
        <v/>
      </c>
      <c r="B956" s="58" t="n"/>
      <c r="C956" s="38" t="n"/>
      <c r="D956" s="38" t="n"/>
      <c r="E956" s="41" t="n"/>
      <c r="F956" s="57">
        <f>IF(D956="","",IFERROR(INDEX(Referensi!$J$5:$J$30,MATCH(D956,Referensi!$I$5:$I$30,0)),"?"))</f>
        <v/>
      </c>
      <c r="G956" s="38" t="n"/>
      <c r="H956" s="38" t="n"/>
      <c r="I956" s="38" t="n"/>
      <c r="J956" s="38" t="n"/>
    </row>
    <row r="957" ht="15" customHeight="1" s="33">
      <c r="A957" s="57">
        <f>IF(B957="","",ROW()-4)</f>
        <v/>
      </c>
      <c r="B957" s="58" t="n"/>
      <c r="C957" s="38" t="n"/>
      <c r="D957" s="38" t="n"/>
      <c r="E957" s="41" t="n"/>
      <c r="F957" s="57">
        <f>IF(D957="","",IFERROR(INDEX(Referensi!$J$5:$J$30,MATCH(D957,Referensi!$I$5:$I$30,0)),"?"))</f>
        <v/>
      </c>
      <c r="G957" s="38" t="n"/>
      <c r="H957" s="38" t="n"/>
      <c r="I957" s="38" t="n"/>
      <c r="J957" s="38" t="n"/>
    </row>
    <row r="958" ht="15" customHeight="1" s="33">
      <c r="A958" s="57">
        <f>IF(B958="","",ROW()-4)</f>
        <v/>
      </c>
      <c r="B958" s="58" t="n"/>
      <c r="C958" s="38" t="n"/>
      <c r="D958" s="38" t="n"/>
      <c r="E958" s="41" t="n"/>
      <c r="F958" s="57">
        <f>IF(D958="","",IFERROR(INDEX(Referensi!$J$5:$J$30,MATCH(D958,Referensi!$I$5:$I$30,0)),"?"))</f>
        <v/>
      </c>
      <c r="G958" s="38" t="n"/>
      <c r="H958" s="38" t="n"/>
      <c r="I958" s="38" t="n"/>
      <c r="J958" s="38" t="n"/>
    </row>
    <row r="959" ht="15" customHeight="1" s="33">
      <c r="A959" s="57">
        <f>IF(B959="","",ROW()-4)</f>
        <v/>
      </c>
      <c r="B959" s="58" t="n"/>
      <c r="C959" s="38" t="n"/>
      <c r="D959" s="38" t="n"/>
      <c r="E959" s="41" t="n"/>
      <c r="F959" s="57">
        <f>IF(D959="","",IFERROR(INDEX(Referensi!$J$5:$J$30,MATCH(D959,Referensi!$I$5:$I$30,0)),"?"))</f>
        <v/>
      </c>
      <c r="G959" s="38" t="n"/>
      <c r="H959" s="38" t="n"/>
      <c r="I959" s="38" t="n"/>
      <c r="J959" s="38" t="n"/>
    </row>
    <row r="960" ht="15" customHeight="1" s="33">
      <c r="A960" s="57">
        <f>IF(B960="","",ROW()-4)</f>
        <v/>
      </c>
      <c r="B960" s="58" t="n"/>
      <c r="C960" s="38" t="n"/>
      <c r="D960" s="38" t="n"/>
      <c r="E960" s="41" t="n"/>
      <c r="F960" s="57">
        <f>IF(D960="","",IFERROR(INDEX(Referensi!$J$5:$J$30,MATCH(D960,Referensi!$I$5:$I$30,0)),"?"))</f>
        <v/>
      </c>
      <c r="G960" s="38" t="n"/>
      <c r="H960" s="38" t="n"/>
      <c r="I960" s="38" t="n"/>
      <c r="J960" s="38" t="n"/>
    </row>
    <row r="961" ht="15" customHeight="1" s="33">
      <c r="A961" s="57">
        <f>IF(B961="","",ROW()-4)</f>
        <v/>
      </c>
      <c r="B961" s="58" t="n"/>
      <c r="C961" s="38" t="n"/>
      <c r="D961" s="38" t="n"/>
      <c r="E961" s="41" t="n"/>
      <c r="F961" s="57">
        <f>IF(D961="","",IFERROR(INDEX(Referensi!$J$5:$J$30,MATCH(D961,Referensi!$I$5:$I$30,0)),"?"))</f>
        <v/>
      </c>
      <c r="G961" s="38" t="n"/>
      <c r="H961" s="38" t="n"/>
      <c r="I961" s="38" t="n"/>
      <c r="J961" s="38" t="n"/>
    </row>
    <row r="962" ht="15" customHeight="1" s="33">
      <c r="A962" s="57">
        <f>IF(B962="","",ROW()-4)</f>
        <v/>
      </c>
      <c r="B962" s="58" t="n"/>
      <c r="C962" s="38" t="n"/>
      <c r="D962" s="38" t="n"/>
      <c r="E962" s="41" t="n"/>
      <c r="F962" s="57">
        <f>IF(D962="","",IFERROR(INDEX(Referensi!$J$5:$J$30,MATCH(D962,Referensi!$I$5:$I$30,0)),"?"))</f>
        <v/>
      </c>
      <c r="G962" s="38" t="n"/>
      <c r="H962" s="38" t="n"/>
      <c r="I962" s="38" t="n"/>
      <c r="J962" s="38" t="n"/>
    </row>
    <row r="963" ht="15" customHeight="1" s="33">
      <c r="A963" s="57">
        <f>IF(B963="","",ROW()-4)</f>
        <v/>
      </c>
      <c r="B963" s="58" t="n"/>
      <c r="C963" s="38" t="n"/>
      <c r="D963" s="38" t="n"/>
      <c r="E963" s="41" t="n"/>
      <c r="F963" s="57">
        <f>IF(D963="","",IFERROR(INDEX(Referensi!$J$5:$J$30,MATCH(D963,Referensi!$I$5:$I$30,0)),"?"))</f>
        <v/>
      </c>
      <c r="G963" s="38" t="n"/>
      <c r="H963" s="38" t="n"/>
      <c r="I963" s="38" t="n"/>
      <c r="J963" s="38" t="n"/>
    </row>
    <row r="964" ht="15" customHeight="1" s="33">
      <c r="A964" s="57">
        <f>IF(B964="","",ROW()-4)</f>
        <v/>
      </c>
      <c r="B964" s="58" t="n"/>
      <c r="C964" s="38" t="n"/>
      <c r="D964" s="38" t="n"/>
      <c r="E964" s="41" t="n"/>
      <c r="F964" s="57">
        <f>IF(D964="","",IFERROR(INDEX(Referensi!$J$5:$J$30,MATCH(D964,Referensi!$I$5:$I$30,0)),"?"))</f>
        <v/>
      </c>
      <c r="G964" s="38" t="n"/>
      <c r="H964" s="38" t="n"/>
      <c r="I964" s="38" t="n"/>
      <c r="J964" s="38" t="n"/>
    </row>
    <row r="965" ht="15" customHeight="1" s="33">
      <c r="A965" s="57">
        <f>IF(B965="","",ROW()-4)</f>
        <v/>
      </c>
      <c r="B965" s="58" t="n"/>
      <c r="C965" s="38" t="n"/>
      <c r="D965" s="38" t="n"/>
      <c r="E965" s="41" t="n"/>
      <c r="F965" s="57">
        <f>IF(D965="","",IFERROR(INDEX(Referensi!$J$5:$J$30,MATCH(D965,Referensi!$I$5:$I$30,0)),"?"))</f>
        <v/>
      </c>
      <c r="G965" s="38" t="n"/>
      <c r="H965" s="38" t="n"/>
      <c r="I965" s="38" t="n"/>
      <c r="J965" s="38" t="n"/>
    </row>
    <row r="966" ht="15" customHeight="1" s="33">
      <c r="A966" s="57">
        <f>IF(B966="","",ROW()-4)</f>
        <v/>
      </c>
      <c r="B966" s="58" t="n"/>
      <c r="C966" s="38" t="n"/>
      <c r="D966" s="38" t="n"/>
      <c r="E966" s="41" t="n"/>
      <c r="F966" s="57">
        <f>IF(D966="","",IFERROR(INDEX(Referensi!$J$5:$J$30,MATCH(D966,Referensi!$I$5:$I$30,0)),"?"))</f>
        <v/>
      </c>
      <c r="G966" s="38" t="n"/>
      <c r="H966" s="38" t="n"/>
      <c r="I966" s="38" t="n"/>
      <c r="J966" s="38" t="n"/>
    </row>
    <row r="967" ht="15" customHeight="1" s="33">
      <c r="A967" s="57">
        <f>IF(B967="","",ROW()-4)</f>
        <v/>
      </c>
      <c r="B967" s="58" t="n"/>
      <c r="C967" s="38" t="n"/>
      <c r="D967" s="38" t="n"/>
      <c r="E967" s="41" t="n"/>
      <c r="F967" s="57">
        <f>IF(D967="","",IFERROR(INDEX(Referensi!$J$5:$J$30,MATCH(D967,Referensi!$I$5:$I$30,0)),"?"))</f>
        <v/>
      </c>
      <c r="G967" s="38" t="n"/>
      <c r="H967" s="38" t="n"/>
      <c r="I967" s="38" t="n"/>
      <c r="J967" s="38" t="n"/>
    </row>
    <row r="968" ht="15" customHeight="1" s="33">
      <c r="A968" s="57">
        <f>IF(B968="","",ROW()-4)</f>
        <v/>
      </c>
      <c r="B968" s="58" t="n"/>
      <c r="C968" s="38" t="n"/>
      <c r="D968" s="38" t="n"/>
      <c r="E968" s="41" t="n"/>
      <c r="F968" s="57">
        <f>IF(D968="","",IFERROR(INDEX(Referensi!$J$5:$J$30,MATCH(D968,Referensi!$I$5:$I$30,0)),"?"))</f>
        <v/>
      </c>
      <c r="G968" s="38" t="n"/>
      <c r="H968" s="38" t="n"/>
      <c r="I968" s="38" t="n"/>
      <c r="J968" s="38" t="n"/>
    </row>
    <row r="969" ht="15" customHeight="1" s="33">
      <c r="A969" s="57">
        <f>IF(B969="","",ROW()-4)</f>
        <v/>
      </c>
      <c r="B969" s="58" t="n"/>
      <c r="C969" s="38" t="n"/>
      <c r="D969" s="38" t="n"/>
      <c r="E969" s="41" t="n"/>
      <c r="F969" s="57">
        <f>IF(D969="","",IFERROR(INDEX(Referensi!$J$5:$J$30,MATCH(D969,Referensi!$I$5:$I$30,0)),"?"))</f>
        <v/>
      </c>
      <c r="G969" s="38" t="n"/>
      <c r="H969" s="38" t="n"/>
      <c r="I969" s="38" t="n"/>
      <c r="J969" s="38" t="n"/>
    </row>
    <row r="970" ht="15" customHeight="1" s="33">
      <c r="A970" s="57">
        <f>IF(B970="","",ROW()-4)</f>
        <v/>
      </c>
      <c r="B970" s="58" t="n"/>
      <c r="C970" s="38" t="n"/>
      <c r="D970" s="38" t="n"/>
      <c r="E970" s="41" t="n"/>
      <c r="F970" s="57">
        <f>IF(D970="","",IFERROR(INDEX(Referensi!$J$5:$J$30,MATCH(D970,Referensi!$I$5:$I$30,0)),"?"))</f>
        <v/>
      </c>
      <c r="G970" s="38" t="n"/>
      <c r="H970" s="38" t="n"/>
      <c r="I970" s="38" t="n"/>
      <c r="J970" s="38" t="n"/>
    </row>
    <row r="971" ht="15" customHeight="1" s="33">
      <c r="A971" s="57">
        <f>IF(B971="","",ROW()-4)</f>
        <v/>
      </c>
      <c r="B971" s="58" t="n"/>
      <c r="C971" s="38" t="n"/>
      <c r="D971" s="38" t="n"/>
      <c r="E971" s="41" t="n"/>
      <c r="F971" s="57">
        <f>IF(D971="","",IFERROR(INDEX(Referensi!$J$5:$J$30,MATCH(D971,Referensi!$I$5:$I$30,0)),"?"))</f>
        <v/>
      </c>
      <c r="G971" s="38" t="n"/>
      <c r="H971" s="38" t="n"/>
      <c r="I971" s="38" t="n"/>
      <c r="J971" s="38" t="n"/>
    </row>
    <row r="972" ht="15" customHeight="1" s="33">
      <c r="A972" s="57">
        <f>IF(B972="","",ROW()-4)</f>
        <v/>
      </c>
      <c r="B972" s="58" t="n"/>
      <c r="C972" s="38" t="n"/>
      <c r="D972" s="38" t="n"/>
      <c r="E972" s="41" t="n"/>
      <c r="F972" s="57">
        <f>IF(D972="","",IFERROR(INDEX(Referensi!$J$5:$J$30,MATCH(D972,Referensi!$I$5:$I$30,0)),"?"))</f>
        <v/>
      </c>
      <c r="G972" s="38" t="n"/>
      <c r="H972" s="38" t="n"/>
      <c r="I972" s="38" t="n"/>
      <c r="J972" s="38" t="n"/>
    </row>
    <row r="973" ht="15" customHeight="1" s="33">
      <c r="A973" s="57">
        <f>IF(B973="","",ROW()-4)</f>
        <v/>
      </c>
      <c r="B973" s="58" t="n"/>
      <c r="C973" s="38" t="n"/>
      <c r="D973" s="38" t="n"/>
      <c r="E973" s="41" t="n"/>
      <c r="F973" s="57">
        <f>IF(D973="","",IFERROR(INDEX(Referensi!$J$5:$J$30,MATCH(D973,Referensi!$I$5:$I$30,0)),"?"))</f>
        <v/>
      </c>
      <c r="G973" s="38" t="n"/>
      <c r="H973" s="38" t="n"/>
      <c r="I973" s="38" t="n"/>
      <c r="J973" s="38" t="n"/>
    </row>
    <row r="974" ht="15" customHeight="1" s="33">
      <c r="A974" s="57">
        <f>IF(B974="","",ROW()-4)</f>
        <v/>
      </c>
      <c r="B974" s="58" t="n"/>
      <c r="C974" s="38" t="n"/>
      <c r="D974" s="38" t="n"/>
      <c r="E974" s="41" t="n"/>
      <c r="F974" s="57">
        <f>IF(D974="","",IFERROR(INDEX(Referensi!$J$5:$J$30,MATCH(D974,Referensi!$I$5:$I$30,0)),"?"))</f>
        <v/>
      </c>
      <c r="G974" s="38" t="n"/>
      <c r="H974" s="38" t="n"/>
      <c r="I974" s="38" t="n"/>
      <c r="J974" s="38" t="n"/>
    </row>
    <row r="975" ht="15" customHeight="1" s="33">
      <c r="A975" s="57">
        <f>IF(B975="","",ROW()-4)</f>
        <v/>
      </c>
      <c r="B975" s="58" t="n"/>
      <c r="C975" s="38" t="n"/>
      <c r="D975" s="38" t="n"/>
      <c r="E975" s="41" t="n"/>
      <c r="F975" s="57">
        <f>IF(D975="","",IFERROR(INDEX(Referensi!$J$5:$J$30,MATCH(D975,Referensi!$I$5:$I$30,0)),"?"))</f>
        <v/>
      </c>
      <c r="G975" s="38" t="n"/>
      <c r="H975" s="38" t="n"/>
      <c r="I975" s="38" t="n"/>
      <c r="J975" s="38" t="n"/>
    </row>
    <row r="976" ht="15" customHeight="1" s="33">
      <c r="A976" s="57">
        <f>IF(B976="","",ROW()-4)</f>
        <v/>
      </c>
      <c r="B976" s="58" t="n"/>
      <c r="C976" s="38" t="n"/>
      <c r="D976" s="38" t="n"/>
      <c r="E976" s="41" t="n"/>
      <c r="F976" s="57">
        <f>IF(D976="","",IFERROR(INDEX(Referensi!$J$5:$J$30,MATCH(D976,Referensi!$I$5:$I$30,0)),"?"))</f>
        <v/>
      </c>
      <c r="G976" s="38" t="n"/>
      <c r="H976" s="38" t="n"/>
      <c r="I976" s="38" t="n"/>
      <c r="J976" s="38" t="n"/>
    </row>
    <row r="977" ht="15" customHeight="1" s="33">
      <c r="A977" s="57">
        <f>IF(B977="","",ROW()-4)</f>
        <v/>
      </c>
      <c r="B977" s="58" t="n"/>
      <c r="C977" s="38" t="n"/>
      <c r="D977" s="38" t="n"/>
      <c r="E977" s="41" t="n"/>
      <c r="F977" s="57">
        <f>IF(D977="","",IFERROR(INDEX(Referensi!$J$5:$J$30,MATCH(D977,Referensi!$I$5:$I$30,0)),"?"))</f>
        <v/>
      </c>
      <c r="G977" s="38" t="n"/>
      <c r="H977" s="38" t="n"/>
      <c r="I977" s="38" t="n"/>
      <c r="J977" s="38" t="n"/>
    </row>
    <row r="978" ht="15" customHeight="1" s="33">
      <c r="A978" s="57">
        <f>IF(B978="","",ROW()-4)</f>
        <v/>
      </c>
      <c r="B978" s="58" t="n"/>
      <c r="C978" s="38" t="n"/>
      <c r="D978" s="38" t="n"/>
      <c r="E978" s="41" t="n"/>
      <c r="F978" s="57">
        <f>IF(D978="","",IFERROR(INDEX(Referensi!$J$5:$J$30,MATCH(D978,Referensi!$I$5:$I$30,0)),"?"))</f>
        <v/>
      </c>
      <c r="G978" s="38" t="n"/>
      <c r="H978" s="38" t="n"/>
      <c r="I978" s="38" t="n"/>
      <c r="J978" s="38" t="n"/>
    </row>
    <row r="979" ht="15" customHeight="1" s="33">
      <c r="A979" s="57">
        <f>IF(B979="","",ROW()-4)</f>
        <v/>
      </c>
      <c r="B979" s="58" t="n"/>
      <c r="C979" s="38" t="n"/>
      <c r="D979" s="38" t="n"/>
      <c r="E979" s="41" t="n"/>
      <c r="F979" s="57">
        <f>IF(D979="","",IFERROR(INDEX(Referensi!$J$5:$J$30,MATCH(D979,Referensi!$I$5:$I$30,0)),"?"))</f>
        <v/>
      </c>
      <c r="G979" s="38" t="n"/>
      <c r="H979" s="38" t="n"/>
      <c r="I979" s="38" t="n"/>
      <c r="J979" s="38" t="n"/>
    </row>
    <row r="980" ht="15" customHeight="1" s="33">
      <c r="A980" s="57">
        <f>IF(B980="","",ROW()-4)</f>
        <v/>
      </c>
      <c r="B980" s="58" t="n"/>
      <c r="C980" s="38" t="n"/>
      <c r="D980" s="38" t="n"/>
      <c r="E980" s="41" t="n"/>
      <c r="F980" s="57">
        <f>IF(D980="","",IFERROR(INDEX(Referensi!$J$5:$J$30,MATCH(D980,Referensi!$I$5:$I$30,0)),"?"))</f>
        <v/>
      </c>
      <c r="G980" s="38" t="n"/>
      <c r="H980" s="38" t="n"/>
      <c r="I980" s="38" t="n"/>
      <c r="J980" s="38" t="n"/>
    </row>
    <row r="981" ht="15" customHeight="1" s="33">
      <c r="A981" s="57">
        <f>IF(B981="","",ROW()-4)</f>
        <v/>
      </c>
      <c r="B981" s="58" t="n"/>
      <c r="C981" s="38" t="n"/>
      <c r="D981" s="38" t="n"/>
      <c r="E981" s="41" t="n"/>
      <c r="F981" s="57">
        <f>IF(D981="","",IFERROR(INDEX(Referensi!$J$5:$J$30,MATCH(D981,Referensi!$I$5:$I$30,0)),"?"))</f>
        <v/>
      </c>
      <c r="G981" s="38" t="n"/>
      <c r="H981" s="38" t="n"/>
      <c r="I981" s="38" t="n"/>
      <c r="J981" s="38" t="n"/>
    </row>
    <row r="982" ht="15" customHeight="1" s="33">
      <c r="A982" s="57">
        <f>IF(B982="","",ROW()-4)</f>
        <v/>
      </c>
      <c r="B982" s="58" t="n"/>
      <c r="C982" s="38" t="n"/>
      <c r="D982" s="38" t="n"/>
      <c r="E982" s="41" t="n"/>
      <c r="F982" s="57">
        <f>IF(D982="","",IFERROR(INDEX(Referensi!$J$5:$J$30,MATCH(D982,Referensi!$I$5:$I$30,0)),"?"))</f>
        <v/>
      </c>
      <c r="G982" s="38" t="n"/>
      <c r="H982" s="38" t="n"/>
      <c r="I982" s="38" t="n"/>
      <c r="J982" s="38" t="n"/>
    </row>
    <row r="983" ht="15" customHeight="1" s="33">
      <c r="A983" s="57">
        <f>IF(B983="","",ROW()-4)</f>
        <v/>
      </c>
      <c r="B983" s="58" t="n"/>
      <c r="C983" s="38" t="n"/>
      <c r="D983" s="38" t="n"/>
      <c r="E983" s="41" t="n"/>
      <c r="F983" s="57">
        <f>IF(D983="","",IFERROR(INDEX(Referensi!$J$5:$J$30,MATCH(D983,Referensi!$I$5:$I$30,0)),"?"))</f>
        <v/>
      </c>
      <c r="G983" s="38" t="n"/>
      <c r="H983" s="38" t="n"/>
      <c r="I983" s="38" t="n"/>
      <c r="J983" s="38" t="n"/>
    </row>
    <row r="984" ht="15" customHeight="1" s="33">
      <c r="A984" s="57">
        <f>IF(B984="","",ROW()-4)</f>
        <v/>
      </c>
      <c r="B984" s="58" t="n"/>
      <c r="C984" s="38" t="n"/>
      <c r="D984" s="38" t="n"/>
      <c r="E984" s="41" t="n"/>
      <c r="F984" s="57">
        <f>IF(D984="","",IFERROR(INDEX(Referensi!$J$5:$J$30,MATCH(D984,Referensi!$I$5:$I$30,0)),"?"))</f>
        <v/>
      </c>
      <c r="G984" s="38" t="n"/>
      <c r="H984" s="38" t="n"/>
      <c r="I984" s="38" t="n"/>
      <c r="J984" s="38" t="n"/>
    </row>
    <row r="985" ht="15" customHeight="1" s="33">
      <c r="A985" s="57">
        <f>IF(B985="","",ROW()-4)</f>
        <v/>
      </c>
      <c r="B985" s="58" t="n"/>
      <c r="C985" s="38" t="n"/>
      <c r="D985" s="38" t="n"/>
      <c r="E985" s="41" t="n"/>
      <c r="F985" s="57">
        <f>IF(D985="","",IFERROR(INDEX(Referensi!$J$5:$J$30,MATCH(D985,Referensi!$I$5:$I$30,0)),"?"))</f>
        <v/>
      </c>
      <c r="G985" s="38" t="n"/>
      <c r="H985" s="38" t="n"/>
      <c r="I985" s="38" t="n"/>
      <c r="J985" s="38" t="n"/>
    </row>
    <row r="986" ht="15" customHeight="1" s="33">
      <c r="A986" s="57">
        <f>IF(B986="","",ROW()-4)</f>
        <v/>
      </c>
      <c r="B986" s="58" t="n"/>
      <c r="C986" s="38" t="n"/>
      <c r="D986" s="38" t="n"/>
      <c r="E986" s="41" t="n"/>
      <c r="F986" s="57">
        <f>IF(D986="","",IFERROR(INDEX(Referensi!$J$5:$J$30,MATCH(D986,Referensi!$I$5:$I$30,0)),"?"))</f>
        <v/>
      </c>
      <c r="G986" s="38" t="n"/>
      <c r="H986" s="38" t="n"/>
      <c r="I986" s="38" t="n"/>
      <c r="J986" s="38" t="n"/>
    </row>
    <row r="987" ht="15" customHeight="1" s="33">
      <c r="A987" s="57">
        <f>IF(B987="","",ROW()-4)</f>
        <v/>
      </c>
      <c r="B987" s="58" t="n"/>
      <c r="C987" s="38" t="n"/>
      <c r="D987" s="38" t="n"/>
      <c r="E987" s="41" t="n"/>
      <c r="F987" s="57">
        <f>IF(D987="","",IFERROR(INDEX(Referensi!$J$5:$J$30,MATCH(D987,Referensi!$I$5:$I$30,0)),"?"))</f>
        <v/>
      </c>
      <c r="G987" s="38" t="n"/>
      <c r="H987" s="38" t="n"/>
      <c r="I987" s="38" t="n"/>
      <c r="J987" s="38" t="n"/>
    </row>
    <row r="988" ht="15" customHeight="1" s="33">
      <c r="A988" s="57">
        <f>IF(B988="","",ROW()-4)</f>
        <v/>
      </c>
      <c r="B988" s="58" t="n"/>
      <c r="C988" s="38" t="n"/>
      <c r="D988" s="38" t="n"/>
      <c r="E988" s="41" t="n"/>
      <c r="F988" s="57">
        <f>IF(D988="","",IFERROR(INDEX(Referensi!$J$5:$J$30,MATCH(D988,Referensi!$I$5:$I$30,0)),"?"))</f>
        <v/>
      </c>
      <c r="G988" s="38" t="n"/>
      <c r="H988" s="38" t="n"/>
      <c r="I988" s="38" t="n"/>
      <c r="J988" s="38" t="n"/>
    </row>
    <row r="989" ht="15" customHeight="1" s="33">
      <c r="A989" s="57">
        <f>IF(B989="","",ROW()-4)</f>
        <v/>
      </c>
      <c r="B989" s="58" t="n"/>
      <c r="C989" s="38" t="n"/>
      <c r="D989" s="38" t="n"/>
      <c r="E989" s="41" t="n"/>
      <c r="F989" s="57">
        <f>IF(D989="","",IFERROR(INDEX(Referensi!$J$5:$J$30,MATCH(D989,Referensi!$I$5:$I$30,0)),"?"))</f>
        <v/>
      </c>
      <c r="G989" s="38" t="n"/>
      <c r="H989" s="38" t="n"/>
      <c r="I989" s="38" t="n"/>
      <c r="J989" s="38" t="n"/>
    </row>
    <row r="990" ht="15" customHeight="1" s="33">
      <c r="A990" s="57">
        <f>IF(B990="","",ROW()-4)</f>
        <v/>
      </c>
      <c r="B990" s="58" t="n"/>
      <c r="C990" s="38" t="n"/>
      <c r="D990" s="38" t="n"/>
      <c r="E990" s="41" t="n"/>
      <c r="F990" s="57">
        <f>IF(D990="","",IFERROR(INDEX(Referensi!$J$5:$J$30,MATCH(D990,Referensi!$I$5:$I$30,0)),"?"))</f>
        <v/>
      </c>
      <c r="G990" s="38" t="n"/>
      <c r="H990" s="38" t="n"/>
      <c r="I990" s="38" t="n"/>
      <c r="J990" s="38" t="n"/>
    </row>
    <row r="991" ht="15" customHeight="1" s="33">
      <c r="A991" s="57">
        <f>IF(B991="","",ROW()-4)</f>
        <v/>
      </c>
      <c r="B991" s="58" t="n"/>
      <c r="C991" s="38" t="n"/>
      <c r="D991" s="38" t="n"/>
      <c r="E991" s="41" t="n"/>
      <c r="F991" s="57">
        <f>IF(D991="","",IFERROR(INDEX(Referensi!$J$5:$J$30,MATCH(D991,Referensi!$I$5:$I$30,0)),"?"))</f>
        <v/>
      </c>
      <c r="G991" s="38" t="n"/>
      <c r="H991" s="38" t="n"/>
      <c r="I991" s="38" t="n"/>
      <c r="J991" s="38" t="n"/>
    </row>
    <row r="992" ht="15" customHeight="1" s="33">
      <c r="A992" s="57">
        <f>IF(B992="","",ROW()-4)</f>
        <v/>
      </c>
      <c r="B992" s="58" t="n"/>
      <c r="C992" s="38" t="n"/>
      <c r="D992" s="38" t="n"/>
      <c r="E992" s="41" t="n"/>
      <c r="F992" s="57">
        <f>IF(D992="","",IFERROR(INDEX(Referensi!$J$5:$J$30,MATCH(D992,Referensi!$I$5:$I$30,0)),"?"))</f>
        <v/>
      </c>
      <c r="G992" s="38" t="n"/>
      <c r="H992" s="38" t="n"/>
      <c r="I992" s="38" t="n"/>
      <c r="J992" s="38" t="n"/>
    </row>
    <row r="993" ht="15" customHeight="1" s="33">
      <c r="A993" s="57">
        <f>IF(B993="","",ROW()-4)</f>
        <v/>
      </c>
      <c r="B993" s="58" t="n"/>
      <c r="C993" s="38" t="n"/>
      <c r="D993" s="38" t="n"/>
      <c r="E993" s="41" t="n"/>
      <c r="F993" s="57">
        <f>IF(D993="","",IFERROR(INDEX(Referensi!$J$5:$J$30,MATCH(D993,Referensi!$I$5:$I$30,0)),"?"))</f>
        <v/>
      </c>
      <c r="G993" s="38" t="n"/>
      <c r="H993" s="38" t="n"/>
      <c r="I993" s="38" t="n"/>
      <c r="J993" s="38" t="n"/>
    </row>
    <row r="994" ht="15" customHeight="1" s="33">
      <c r="A994" s="57">
        <f>IF(B994="","",ROW()-4)</f>
        <v/>
      </c>
      <c r="B994" s="58" t="n"/>
      <c r="C994" s="38" t="n"/>
      <c r="D994" s="38" t="n"/>
      <c r="E994" s="41" t="n"/>
      <c r="F994" s="57">
        <f>IF(D994="","",IFERROR(INDEX(Referensi!$J$5:$J$30,MATCH(D994,Referensi!$I$5:$I$30,0)),"?"))</f>
        <v/>
      </c>
      <c r="G994" s="38" t="n"/>
      <c r="H994" s="38" t="n"/>
      <c r="I994" s="38" t="n"/>
      <c r="J994" s="38" t="n"/>
    </row>
    <row r="995" ht="15" customHeight="1" s="33">
      <c r="A995" s="57">
        <f>IF(B995="","",ROW()-4)</f>
        <v/>
      </c>
      <c r="B995" s="58" t="n"/>
      <c r="C995" s="38" t="n"/>
      <c r="D995" s="38" t="n"/>
      <c r="E995" s="41" t="n"/>
      <c r="F995" s="57">
        <f>IF(D995="","",IFERROR(INDEX(Referensi!$J$5:$J$30,MATCH(D995,Referensi!$I$5:$I$30,0)),"?"))</f>
        <v/>
      </c>
      <c r="G995" s="38" t="n"/>
      <c r="H995" s="38" t="n"/>
      <c r="I995" s="38" t="n"/>
      <c r="J995" s="38" t="n"/>
    </row>
    <row r="996" ht="15" customHeight="1" s="33">
      <c r="A996" s="57">
        <f>IF(B996="","",ROW()-4)</f>
        <v/>
      </c>
      <c r="B996" s="58" t="n"/>
      <c r="C996" s="38" t="n"/>
      <c r="D996" s="38" t="n"/>
      <c r="E996" s="41" t="n"/>
      <c r="F996" s="57">
        <f>IF(D996="","",IFERROR(INDEX(Referensi!$J$5:$J$30,MATCH(D996,Referensi!$I$5:$I$30,0)),"?"))</f>
        <v/>
      </c>
      <c r="G996" s="38" t="n"/>
      <c r="H996" s="38" t="n"/>
      <c r="I996" s="38" t="n"/>
      <c r="J996" s="38" t="n"/>
    </row>
    <row r="997" ht="15" customHeight="1" s="33">
      <c r="A997" s="57">
        <f>IF(B997="","",ROW()-4)</f>
        <v/>
      </c>
      <c r="B997" s="58" t="n"/>
      <c r="C997" s="38" t="n"/>
      <c r="D997" s="38" t="n"/>
      <c r="E997" s="41" t="n"/>
      <c r="F997" s="57">
        <f>IF(D997="","",IFERROR(INDEX(Referensi!$J$5:$J$30,MATCH(D997,Referensi!$I$5:$I$30,0)),"?"))</f>
        <v/>
      </c>
      <c r="G997" s="38" t="n"/>
      <c r="H997" s="38" t="n"/>
      <c r="I997" s="38" t="n"/>
      <c r="J997" s="38" t="n"/>
    </row>
    <row r="998" ht="15" customHeight="1" s="33">
      <c r="A998" s="57">
        <f>IF(B998="","",ROW()-4)</f>
        <v/>
      </c>
      <c r="B998" s="58" t="n"/>
      <c r="C998" s="38" t="n"/>
      <c r="D998" s="38" t="n"/>
      <c r="E998" s="41" t="n"/>
      <c r="F998" s="57">
        <f>IF(D998="","",IFERROR(INDEX(Referensi!$J$5:$J$30,MATCH(D998,Referensi!$I$5:$I$30,0)),"?"))</f>
        <v/>
      </c>
      <c r="G998" s="38" t="n"/>
      <c r="H998" s="38" t="n"/>
      <c r="I998" s="38" t="n"/>
      <c r="J998" s="38" t="n"/>
    </row>
    <row r="999" ht="15" customHeight="1" s="33">
      <c r="A999" s="57">
        <f>IF(B999="","",ROW()-4)</f>
        <v/>
      </c>
      <c r="B999" s="58" t="n"/>
      <c r="C999" s="38" t="n"/>
      <c r="D999" s="38" t="n"/>
      <c r="E999" s="41" t="n"/>
      <c r="F999" s="57">
        <f>IF(D999="","",IFERROR(INDEX(Referensi!$J$5:$J$30,MATCH(D999,Referensi!$I$5:$I$30,0)),"?"))</f>
        <v/>
      </c>
      <c r="G999" s="38" t="n"/>
      <c r="H999" s="38" t="n"/>
      <c r="I999" s="38" t="n"/>
      <c r="J999" s="38" t="n"/>
    </row>
    <row r="1000" ht="15" customHeight="1" s="33">
      <c r="A1000" s="57">
        <f>IF(B1000="","",ROW()-4)</f>
        <v/>
      </c>
      <c r="B1000" s="58" t="n"/>
      <c r="C1000" s="38" t="n"/>
      <c r="D1000" s="38" t="n"/>
      <c r="E1000" s="41" t="n"/>
      <c r="F1000" s="57">
        <f>IF(D1000="","",IFERROR(INDEX(Referensi!$J$5:$J$30,MATCH(D1000,Referensi!$I$5:$I$30,0)),"?"))</f>
        <v/>
      </c>
      <c r="G1000" s="38" t="n"/>
      <c r="H1000" s="38" t="n"/>
      <c r="I1000" s="38" t="n"/>
      <c r="J1000" s="38" t="n"/>
    </row>
    <row r="1001" ht="15" customHeight="1" s="33">
      <c r="A1001" s="57">
        <f>IF(B1001="","",ROW()-4)</f>
        <v/>
      </c>
      <c r="B1001" s="58" t="n"/>
      <c r="C1001" s="38" t="n"/>
      <c r="D1001" s="38" t="n"/>
      <c r="E1001" s="41" t="n"/>
      <c r="F1001" s="57">
        <f>IF(D1001="","",IFERROR(INDEX(Referensi!$J$5:$J$30,MATCH(D1001,Referensi!$I$5:$I$30,0)),"?"))</f>
        <v/>
      </c>
      <c r="G1001" s="38" t="n"/>
      <c r="H1001" s="38" t="n"/>
      <c r="I1001" s="38" t="n"/>
      <c r="J1001" s="38" t="n"/>
    </row>
    <row r="1002" ht="15" customHeight="1" s="33">
      <c r="A1002" s="57">
        <f>IF(B1002="","",ROW()-4)</f>
        <v/>
      </c>
      <c r="B1002" s="58" t="n"/>
      <c r="C1002" s="38" t="n"/>
      <c r="D1002" s="38" t="n"/>
      <c r="E1002" s="41" t="n"/>
      <c r="F1002" s="57">
        <f>IF(D1002="","",IFERROR(INDEX(Referensi!$J$5:$J$30,MATCH(D1002,Referensi!$I$5:$I$30,0)),"?"))</f>
        <v/>
      </c>
      <c r="G1002" s="38" t="n"/>
      <c r="H1002" s="38" t="n"/>
      <c r="I1002" s="38" t="n"/>
      <c r="J1002" s="38" t="n"/>
    </row>
    <row r="1003" ht="15" customHeight="1" s="33">
      <c r="A1003" s="57">
        <f>IF(B1003="","",ROW()-4)</f>
        <v/>
      </c>
      <c r="B1003" s="58" t="n"/>
      <c r="C1003" s="38" t="n"/>
      <c r="D1003" s="38" t="n"/>
      <c r="E1003" s="41" t="n"/>
      <c r="F1003" s="57">
        <f>IF(D1003="","",IFERROR(INDEX(Referensi!$J$5:$J$30,MATCH(D1003,Referensi!$I$5:$I$30,0)),"?"))</f>
        <v/>
      </c>
      <c r="G1003" s="38" t="n"/>
      <c r="H1003" s="38" t="n"/>
      <c r="I1003" s="38" t="n"/>
      <c r="J1003" s="38" t="n"/>
    </row>
    <row r="1004" ht="15" customHeight="1" s="33">
      <c r="A1004" s="57">
        <f>IF(B1004="","",ROW()-4)</f>
        <v/>
      </c>
      <c r="B1004" s="58" t="n"/>
      <c r="C1004" s="38" t="n"/>
      <c r="D1004" s="38" t="n"/>
      <c r="E1004" s="41" t="n"/>
      <c r="F1004" s="57">
        <f>IF(D1004="","",IFERROR(INDEX(Referensi!$J$5:$J$30,MATCH(D1004,Referensi!$I$5:$I$30,0)),"?"))</f>
        <v/>
      </c>
      <c r="G1004" s="38" t="n"/>
      <c r="H1004" s="38" t="n"/>
      <c r="I1004" s="38" t="n"/>
      <c r="J1004" s="38" t="n"/>
    </row>
  </sheetData>
  <autoFilter ref="A4:J1004"/>
  <dataValidations count="4">
    <dataValidation sqref="C5:C1004" showDropDown="0" showInputMessage="1" showErrorMessage="1" allowBlank="1" errorTitle="Pilihan tidak tersedia" error="Pilih dari daftar. Untuk menambah pilihan, isi tab Referensi." promptTitle="Pilih dari daftar" prompt="Proyek dari tab Referensi" type="list" errorStyle="stop" operator="between">
      <formula1>Referensi!$F$5:$F$20</formula1>
      <formula2>0</formula2>
    </dataValidation>
    <dataValidation sqref="D5:D1004" showDropDown="0" showInputMessage="1" showErrorMessage="1" allowBlank="1" errorTitle="Pilihan tidak tersedia" error="Pilih dari daftar. Untuk menambah pilihan, isi tab Referensi." promptTitle="Pilih dari daftar" prompt="Indikator dari tab Referensi" type="list" errorStyle="stop" operator="between">
      <formula1>Referensi!$I$5:$I$30</formula1>
      <formula2>0</formula2>
    </dataValidation>
    <dataValidation sqref="J5:J1004" showDropDown="0" showInputMessage="1" showErrorMessage="1" allowBlank="1" errorTitle="Pilihan tidak tersedia" error="Pilih dari daftar. Untuk menambah pilihan, isi tab Referensi." promptTitle="Pilih dari daftar" prompt="Sudah dicek buktinya?" type="list" errorStyle="stop" operator="between">
      <formula1>Referensi!$M$5:$M$6</formula1>
      <formula2>0</formula2>
    </dataValidation>
    <dataValidation sqref="B5:B1004" showDropDown="0" showInputMessage="0" showErrorMessage="0" allowBlank="1" type="date" errorStyle="stop" operator="greaterThan">
      <formula1>DATE(2020,1,1)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BBBBBB"/>
    <outlinePr summaryBelow="1" summaryRight="1"/>
    <pageSetUpPr fitToPage="0"/>
  </sheetPr>
  <dimension ref="A1:M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32" min="1" max="1"/>
    <col width="10" customWidth="1" style="32" min="2" max="2"/>
    <col width="20" customWidth="1" style="32" min="3" max="3"/>
    <col width="44" customWidth="1" style="32" min="4" max="4"/>
    <col width="3" customWidth="1" style="32" min="5" max="5"/>
    <col width="24" customWidth="1" style="32" min="6" max="6"/>
    <col width="40" customWidth="1" style="32" min="7" max="7"/>
    <col width="3" customWidth="1" style="32" min="8" max="8"/>
    <col width="30" customWidth="1" style="32" min="9" max="9"/>
    <col width="12" customWidth="1" style="32" min="10" max="10"/>
    <col width="3" customWidth="1" style="32" min="11" max="11"/>
    <col width="10" customWidth="1" style="32" min="12" max="12"/>
    <col width="22" customWidth="1" style="32" min="13" max="13"/>
  </cols>
  <sheetData>
    <row r="1" ht="19.7" customHeight="1" s="33">
      <c r="A1" s="34" t="inlineStr">
        <is>
          <t>Daftar Referensi</t>
        </is>
      </c>
    </row>
    <row r="2" ht="15" customHeight="1" s="33">
      <c r="A2" s="35" t="inlineStr">
        <is>
          <t>Isi daftar di bawah untuk pilihan dropdown. Tambahkan baris baru di bawah daftar bila perlu (kolom kuning).</t>
        </is>
      </c>
    </row>
    <row r="4" ht="31.5" customHeight="1" s="33">
      <c r="A4" s="40" t="inlineStr">
        <is>
          <t>Kategori</t>
        </is>
      </c>
      <c r="B4" s="40" t="inlineStr">
        <is>
          <t>Jenis</t>
        </is>
      </c>
      <c r="C4" s="40" t="inlineStr">
        <is>
          <t>Kelompok</t>
        </is>
      </c>
      <c r="D4" s="40" t="inlineStr">
        <is>
          <t>Keterangan</t>
        </is>
      </c>
      <c r="F4" s="40" t="inlineStr">
        <is>
          <t>Proyek</t>
        </is>
      </c>
      <c r="G4" s="40" t="inlineStr">
        <is>
          <t>Keterangan</t>
        </is>
      </c>
      <c r="I4" s="40" t="inlineStr">
        <is>
          <t>Indikator Dampak</t>
        </is>
      </c>
      <c r="J4" s="40" t="inlineStr">
        <is>
          <t>Satuan</t>
        </is>
      </c>
      <c r="L4" s="40" t="inlineStr">
        <is>
          <t>Jenis</t>
        </is>
      </c>
      <c r="M4" s="40" t="inlineStr">
        <is>
          <t>Status</t>
        </is>
      </c>
    </row>
    <row r="5" ht="15" customHeight="1" s="33">
      <c r="A5" s="38" t="inlineStr">
        <is>
          <t>Modal Disetor Pemegang Saham</t>
        </is>
      </c>
      <c r="B5" s="38" t="inlineStr">
        <is>
          <t>Masuk</t>
        </is>
      </c>
      <c r="C5" s="38" t="inlineStr">
        <is>
          <t>Pendanaan &amp; Modal</t>
        </is>
      </c>
      <c r="D5" s="38" t="inlineStr">
        <is>
          <t>Setoran modal pendiri/pemegang saham PT</t>
        </is>
      </c>
      <c r="F5" s="38" t="inlineStr">
        <is>
          <t>Akar Bambu</t>
        </is>
      </c>
      <c r="G5" s="38" t="inlineStr">
        <is>
          <t>Agroforestri penyelamatan lahan rawan longsor</t>
        </is>
      </c>
      <c r="I5" s="38" t="inlineStr">
        <is>
          <t>Pohon ditanam</t>
        </is>
      </c>
      <c r="J5" s="38" t="inlineStr">
        <is>
          <t>batang</t>
        </is>
      </c>
      <c r="L5" s="62" t="inlineStr">
        <is>
          <t>Masuk</t>
        </is>
      </c>
      <c r="M5" s="62" t="inlineStr">
        <is>
          <t>Terverifikasi</t>
        </is>
      </c>
    </row>
    <row r="6" ht="15" customHeight="1" s="33">
      <c r="A6" s="38" t="inlineStr">
        <is>
          <t>Investasi Dampak</t>
        </is>
      </c>
      <c r="B6" s="38" t="inlineStr">
        <is>
          <t>Masuk</t>
        </is>
      </c>
      <c r="C6" s="38" t="inlineStr">
        <is>
          <t>Pendanaan &amp; Modal</t>
        </is>
      </c>
      <c r="D6" s="38" t="inlineStr">
        <is>
          <t>Dana investor dampak (ekuitas/pinjaman)</t>
        </is>
      </c>
      <c r="F6" s="38" t="inlineStr">
        <is>
          <t>Benih</t>
        </is>
      </c>
      <c r="G6" s="38" t="inlineStr">
        <is>
          <t>Aplikasi web jejaring penggiat lingkungan</t>
        </is>
      </c>
      <c r="I6" s="38" t="inlineStr">
        <is>
          <t>Bibit diproduksi</t>
        </is>
      </c>
      <c r="J6" s="38" t="inlineStr">
        <is>
          <t>batang</t>
        </is>
      </c>
      <c r="L6" s="62" t="inlineStr">
        <is>
          <t>Keluar</t>
        </is>
      </c>
      <c r="M6" s="62" t="inlineStr">
        <is>
          <t>Menunggu Verifikasi</t>
        </is>
      </c>
    </row>
    <row r="7" ht="15" customHeight="1" s="33">
      <c r="A7" s="38" t="inlineStr">
        <is>
          <t>Kemitraan / CSR Perusahaan</t>
        </is>
      </c>
      <c r="B7" s="38" t="inlineStr">
        <is>
          <t>Masuk</t>
        </is>
      </c>
      <c r="C7" s="38" t="inlineStr">
        <is>
          <t>Pendapatan Usaha</t>
        </is>
      </c>
      <c r="D7" s="38" t="inlineStr">
        <is>
          <t>Kontrak program dengan badan usaha</t>
        </is>
      </c>
      <c r="F7" s="38" t="inlineStr">
        <is>
          <t>Lapor Lahan &amp; Riset</t>
        </is>
      </c>
      <c r="G7" s="38" t="inlineStr">
        <is>
          <t>Verifikasi dan survei laporan lahan kritis</t>
        </is>
      </c>
      <c r="I7" s="38" t="inlineStr">
        <is>
          <t>Luas lahan dipulihkan</t>
        </is>
      </c>
      <c r="J7" s="38" t="inlineStr">
        <is>
          <t>hektare</t>
        </is>
      </c>
    </row>
    <row r="8" ht="15" customHeight="1" s="33">
      <c r="A8" s="38" t="inlineStr">
        <is>
          <t>Penjualan Hasil Panen</t>
        </is>
      </c>
      <c r="B8" s="38" t="inlineStr">
        <is>
          <t>Masuk</t>
        </is>
      </c>
      <c r="C8" s="38" t="inlineStr">
        <is>
          <t>Pendapatan Usaha</t>
        </is>
      </c>
      <c r="D8" s="38" t="inlineStr">
        <is>
          <t>Bambu, katuk, vanili, dll.</t>
        </is>
      </c>
      <c r="F8" s="38" t="inlineStr">
        <is>
          <t>Umum Perusahaan</t>
        </is>
      </c>
      <c r="G8" s="38" t="inlineStr">
        <is>
          <t>Biaya/pendapatan yang tidak terkait satu proyek</t>
        </is>
      </c>
      <c r="I8" s="38" t="inlineStr">
        <is>
          <t>Pekerja lokal terlibat (baru)</t>
        </is>
      </c>
      <c r="J8" s="38" t="inlineStr">
        <is>
          <t>orang</t>
        </is>
      </c>
    </row>
    <row r="9" ht="15" customHeight="1" s="33">
      <c r="A9" s="38" t="inlineStr">
        <is>
          <t>Penjualan Bibit</t>
        </is>
      </c>
      <c r="B9" s="38" t="inlineStr">
        <is>
          <t>Masuk</t>
        </is>
      </c>
      <c r="C9" s="38" t="inlineStr">
        <is>
          <t>Pendapatan Usaha</t>
        </is>
      </c>
      <c r="D9" s="38" t="inlineStr">
        <is>
          <t>Bibit dari persemaian</t>
        </is>
      </c>
      <c r="F9" s="63" t="n"/>
      <c r="G9" s="63" t="n"/>
      <c r="I9" s="38" t="inlineStr">
        <is>
          <t>Hari kerja warga</t>
        </is>
      </c>
      <c r="J9" s="38" t="inlineStr">
        <is>
          <t>HOK</t>
        </is>
      </c>
    </row>
    <row r="10" ht="15" customHeight="1" s="33">
      <c r="A10" s="38" t="inlineStr">
        <is>
          <t>Jasa &amp; Program</t>
        </is>
      </c>
      <c r="B10" s="38" t="inlineStr">
        <is>
          <t>Masuk</t>
        </is>
      </c>
      <c r="C10" s="38" t="inlineStr">
        <is>
          <t>Pendapatan Usaha</t>
        </is>
      </c>
      <c r="D10" s="38" t="inlineStr">
        <is>
          <t>Pelatihan, konsultasi, kunjungan lapangan</t>
        </is>
      </c>
      <c r="F10" s="63" t="n"/>
      <c r="G10" s="63" t="n"/>
      <c r="I10" s="38" t="inlineStr">
        <is>
          <t>Laporan lahan diterima</t>
        </is>
      </c>
      <c r="J10" s="38" t="inlineStr">
        <is>
          <t>laporan</t>
        </is>
      </c>
    </row>
    <row r="11" ht="15" customHeight="1" s="33">
      <c r="A11" s="38" t="inlineStr">
        <is>
          <t>Pendapatan Lain</t>
        </is>
      </c>
      <c r="B11" s="38" t="inlineStr">
        <is>
          <t>Masuk</t>
        </is>
      </c>
      <c r="C11" s="38" t="inlineStr">
        <is>
          <t>Pendapatan Usaha</t>
        </is>
      </c>
      <c r="D11" s="38" t="inlineStr">
        <is>
          <t>Bunga bank, dll.</t>
        </is>
      </c>
      <c r="F11" s="63" t="n"/>
      <c r="G11" s="63" t="n"/>
      <c r="I11" s="38" t="inlineStr">
        <is>
          <t>Lahan disurvei</t>
        </is>
      </c>
      <c r="J11" s="38" t="inlineStr">
        <is>
          <t>lokasi</t>
        </is>
      </c>
    </row>
    <row r="12" ht="15" customHeight="1" s="33">
      <c r="A12" s="38" t="inlineStr">
        <is>
          <t>Bibit &amp; Material Tanam</t>
        </is>
      </c>
      <c r="B12" s="38" t="inlineStr">
        <is>
          <t>Keluar</t>
        </is>
      </c>
      <c r="C12" s="38" t="inlineStr">
        <is>
          <t>Biaya Proyek</t>
        </is>
      </c>
      <c r="D12" s="38" t="inlineStr">
        <is>
          <t>Bibit, pupuk organik, ajir, polybag</t>
        </is>
      </c>
      <c r="F12" s="63" t="n"/>
      <c r="G12" s="63" t="n"/>
      <c r="I12" s="38" t="inlineStr">
        <is>
          <t>Hasil panen</t>
        </is>
      </c>
      <c r="J12" s="38" t="inlineStr">
        <is>
          <t>kg</t>
        </is>
      </c>
    </row>
    <row r="13" ht="15" customHeight="1" s="33">
      <c r="A13" s="38" t="inlineStr">
        <is>
          <t>Upah Pekerja Lapangan</t>
        </is>
      </c>
      <c r="B13" s="38" t="inlineStr">
        <is>
          <t>Keluar</t>
        </is>
      </c>
      <c r="C13" s="38" t="inlineStr">
        <is>
          <t>Biaya Proyek</t>
        </is>
      </c>
      <c r="D13" s="38" t="inlineStr">
        <is>
          <t>Tulis per peran/kelompok, bukan nama orang</t>
        </is>
      </c>
      <c r="F13" s="63" t="n"/>
      <c r="G13" s="63" t="n"/>
      <c r="I13" s="38" t="inlineStr">
        <is>
          <t>Penggiat terdaftar di Benih</t>
        </is>
      </c>
      <c r="J13" s="38" t="inlineStr">
        <is>
          <t>akun</t>
        </is>
      </c>
    </row>
    <row r="14" ht="15" customHeight="1" s="33">
      <c r="A14" s="38" t="inlineStr">
        <is>
          <t>Honor Ahli &amp; Pendamping</t>
        </is>
      </c>
      <c r="B14" s="38" t="inlineStr">
        <is>
          <t>Keluar</t>
        </is>
      </c>
      <c r="C14" s="38" t="inlineStr">
        <is>
          <t>Biaya Proyek</t>
        </is>
      </c>
      <c r="D14" s="38" t="inlineStr">
        <is>
          <t>Ahli agroforestri, pendamping desa</t>
        </is>
      </c>
      <c r="F14" s="63" t="n"/>
      <c r="G14" s="63" t="n"/>
      <c r="I14" s="38" t="inlineStr">
        <is>
          <t>Kegiatan lingkungan via Benih</t>
        </is>
      </c>
      <c r="J14" s="38" t="inlineStr">
        <is>
          <t>kegiatan</t>
        </is>
      </c>
    </row>
    <row r="15" ht="15" customHeight="1" s="33">
      <c r="A15" s="38" t="inlineStr">
        <is>
          <t>Survei &amp; Riset Lahan</t>
        </is>
      </c>
      <c r="B15" s="38" t="inlineStr">
        <is>
          <t>Keluar</t>
        </is>
      </c>
      <c r="C15" s="38" t="inlineStr">
        <is>
          <t>Biaya Proyek</t>
        </is>
      </c>
      <c r="D15" s="38" t="inlineStr">
        <is>
          <t>Survei laporan lahan, uji tanah, pemetaan</t>
        </is>
      </c>
      <c r="F15" s="63" t="n"/>
      <c r="G15" s="63" t="n"/>
      <c r="I15" s="63" t="n"/>
      <c r="J15" s="63" t="n"/>
    </row>
    <row r="16" ht="15" customHeight="1" s="33">
      <c r="A16" s="38" t="inlineStr">
        <is>
          <t>Sewa / Kompensasi Lahan</t>
        </is>
      </c>
      <c r="B16" s="38" t="inlineStr">
        <is>
          <t>Keluar</t>
        </is>
      </c>
      <c r="C16" s="38" t="inlineStr">
        <is>
          <t>Biaya Proyek</t>
        </is>
      </c>
      <c r="D16" s="38" t="inlineStr">
        <is>
          <t>Sewa atau bagi hasil dengan pemilik lahan</t>
        </is>
      </c>
      <c r="F16" s="63" t="n"/>
      <c r="G16" s="63" t="n"/>
      <c r="I16" s="63" t="n"/>
      <c r="J16" s="63" t="n"/>
    </row>
    <row r="17" ht="15" customHeight="1" s="33">
      <c r="A17" s="38" t="inlineStr">
        <is>
          <t>Transportasi &amp; Logistik</t>
        </is>
      </c>
      <c r="B17" s="38" t="inlineStr">
        <is>
          <t>Keluar</t>
        </is>
      </c>
      <c r="C17" s="38" t="inlineStr">
        <is>
          <t>Biaya Proyek</t>
        </is>
      </c>
      <c r="D17" s="38" t="inlineStr">
        <is>
          <t>Angkut bibit, perjalanan ke lokasi</t>
        </is>
      </c>
      <c r="F17" s="63" t="n"/>
      <c r="G17" s="63" t="n"/>
      <c r="I17" s="63" t="n"/>
      <c r="J17" s="63" t="n"/>
    </row>
    <row r="18" ht="15" customHeight="1" s="33">
      <c r="A18" s="38" t="inlineStr">
        <is>
          <t>Peralatan Lapangan</t>
        </is>
      </c>
      <c r="B18" s="38" t="inlineStr">
        <is>
          <t>Keluar</t>
        </is>
      </c>
      <c r="C18" s="38" t="inlineStr">
        <is>
          <t>Biaya Proyek</t>
        </is>
      </c>
      <c r="D18" s="38" t="inlineStr">
        <is>
          <t>Alat tanam, APD</t>
        </is>
      </c>
      <c r="F18" s="63" t="n"/>
      <c r="G18" s="63" t="n"/>
      <c r="I18" s="63" t="n"/>
      <c r="J18" s="63" t="n"/>
    </row>
    <row r="19" ht="15" customHeight="1" s="33">
      <c r="A19" s="38" t="inlineStr">
        <is>
          <t>Pengembangan Teknologi</t>
        </is>
      </c>
      <c r="B19" s="38" t="inlineStr">
        <is>
          <t>Keluar</t>
        </is>
      </c>
      <c r="C19" s="38" t="inlineStr">
        <is>
          <t>Biaya Proyek</t>
        </is>
      </c>
      <c r="D19" s="38" t="inlineStr">
        <is>
          <t>Pengembangan aplikasi Benih, server</t>
        </is>
      </c>
      <c r="F19" s="63" t="n"/>
      <c r="G19" s="63" t="n"/>
      <c r="I19" s="63" t="n"/>
      <c r="J19" s="63" t="n"/>
    </row>
    <row r="20" ht="15" customHeight="1" s="33">
      <c r="A20" s="38" t="inlineStr">
        <is>
          <t>Gaji Tim Inti</t>
        </is>
      </c>
      <c r="B20" s="38" t="inlineStr">
        <is>
          <t>Keluar</t>
        </is>
      </c>
      <c r="C20" s="38" t="inlineStr">
        <is>
          <t>Biaya Operasional</t>
        </is>
      </c>
      <c r="D20" s="38" t="inlineStr">
        <is>
          <t>Tulis total per bagian, bukan per nama</t>
        </is>
      </c>
      <c r="F20" s="63" t="n"/>
      <c r="G20" s="63" t="n"/>
      <c r="I20" s="63" t="n"/>
      <c r="J20" s="63" t="n"/>
    </row>
    <row r="21" ht="15" customHeight="1" s="33">
      <c r="A21" s="38" t="inlineStr">
        <is>
          <t>Operasional Kantor</t>
        </is>
      </c>
      <c r="B21" s="38" t="inlineStr">
        <is>
          <t>Keluar</t>
        </is>
      </c>
      <c r="C21" s="38" t="inlineStr">
        <is>
          <t>Biaya Operasional</t>
        </is>
      </c>
      <c r="D21" s="38" t="inlineStr">
        <is>
          <t>Sewa kantor, listrik, internet, ATK</t>
        </is>
      </c>
      <c r="I21" s="63" t="n"/>
      <c r="J21" s="63" t="n"/>
    </row>
    <row r="22" ht="15" customHeight="1" s="33">
      <c r="A22" s="38" t="inlineStr">
        <is>
          <t>Pemasaran &amp; Komunikasi</t>
        </is>
      </c>
      <c r="B22" s="38" t="inlineStr">
        <is>
          <t>Keluar</t>
        </is>
      </c>
      <c r="C22" s="38" t="inlineStr">
        <is>
          <t>Biaya Operasional</t>
        </is>
      </c>
      <c r="D22" s="38" t="inlineStr">
        <is>
          <t>Website, media sosial, materi publikasi</t>
        </is>
      </c>
      <c r="I22" s="63" t="n"/>
      <c r="J22" s="63" t="n"/>
    </row>
    <row r="23" ht="15" customHeight="1" s="33">
      <c r="A23" s="38" t="inlineStr">
        <is>
          <t>Legal, Audit &amp; Administrasi</t>
        </is>
      </c>
      <c r="B23" s="38" t="inlineStr">
        <is>
          <t>Keluar</t>
        </is>
      </c>
      <c r="C23" s="38" t="inlineStr">
        <is>
          <t>Biaya Operasional</t>
        </is>
      </c>
      <c r="D23" s="38" t="inlineStr">
        <is>
          <t>Notaris, perizinan, audit, biaya bank</t>
        </is>
      </c>
      <c r="I23" s="63" t="n"/>
      <c r="J23" s="63" t="n"/>
    </row>
    <row r="24" ht="15" customHeight="1" s="33">
      <c r="A24" s="38" t="inlineStr">
        <is>
          <t>Pajak</t>
        </is>
      </c>
      <c r="B24" s="38" t="inlineStr">
        <is>
          <t>Keluar</t>
        </is>
      </c>
      <c r="C24" s="38" t="inlineStr">
        <is>
          <t>Pajak</t>
        </is>
      </c>
      <c r="D24" s="38" t="inlineStr">
        <is>
          <t>PPh, PPN, PBB, dll.</t>
        </is>
      </c>
      <c r="I24" s="63" t="n"/>
      <c r="J24" s="63" t="n"/>
    </row>
    <row r="25" ht="15" customHeight="1" s="33">
      <c r="A25" s="38" t="inlineStr">
        <is>
          <t>Pengeluaran Lain</t>
        </is>
      </c>
      <c r="B25" s="38" t="inlineStr">
        <is>
          <t>Keluar</t>
        </is>
      </c>
      <c r="C25" s="38" t="inlineStr">
        <is>
          <t>Biaya Operasional</t>
        </is>
      </c>
      <c r="D25" s="38" t="inlineStr">
        <is>
          <t>Yang tidak masuk kategori lain</t>
        </is>
      </c>
      <c r="I25" s="63" t="n"/>
      <c r="J25" s="63" t="n"/>
    </row>
    <row r="26" ht="15" customHeight="1" s="33">
      <c r="A26" s="63" t="n"/>
      <c r="B26" s="63" t="n"/>
      <c r="C26" s="63" t="n"/>
      <c r="D26" s="63" t="n"/>
      <c r="I26" s="63" t="n"/>
      <c r="J26" s="63" t="n"/>
    </row>
    <row r="27" ht="15" customHeight="1" s="33">
      <c r="A27" s="63" t="n"/>
      <c r="B27" s="63" t="n"/>
      <c r="C27" s="63" t="n"/>
      <c r="D27" s="63" t="n"/>
      <c r="I27" s="63" t="n"/>
      <c r="J27" s="63" t="n"/>
    </row>
    <row r="28" ht="15" customHeight="1" s="33">
      <c r="A28" s="63" t="n"/>
      <c r="B28" s="63" t="n"/>
      <c r="C28" s="63" t="n"/>
      <c r="D28" s="63" t="n"/>
      <c r="I28" s="63" t="n"/>
      <c r="J28" s="63" t="n"/>
    </row>
    <row r="29" ht="15" customHeight="1" s="33">
      <c r="A29" s="63" t="n"/>
      <c r="B29" s="63" t="n"/>
      <c r="C29" s="63" t="n"/>
      <c r="D29" s="63" t="n"/>
      <c r="I29" s="63" t="n"/>
      <c r="J29" s="63" t="n"/>
    </row>
    <row r="30" ht="15" customHeight="1" s="33">
      <c r="A30" s="63" t="n"/>
      <c r="B30" s="63" t="n"/>
      <c r="C30" s="63" t="n"/>
      <c r="D30" s="63" t="n"/>
      <c r="I30" s="63" t="n"/>
      <c r="J30" s="63" t="n"/>
    </row>
    <row r="31" ht="15" customHeight="1" s="33">
      <c r="A31" s="63" t="n"/>
      <c r="B31" s="63" t="n"/>
      <c r="C31" s="63" t="n"/>
      <c r="D31" s="63" t="n"/>
    </row>
    <row r="32" ht="15" customHeight="1" s="33">
      <c r="A32" s="63" t="n"/>
      <c r="B32" s="63" t="n"/>
      <c r="C32" s="63" t="n"/>
      <c r="D32" s="63" t="n"/>
    </row>
    <row r="33" ht="15" customHeight="1" s="33">
      <c r="A33" s="63" t="n"/>
      <c r="B33" s="63" t="n"/>
      <c r="C33" s="63" t="n"/>
      <c r="D33" s="63" t="n"/>
    </row>
    <row r="34" ht="15" customHeight="1" s="33">
      <c r="A34" s="63" t="n"/>
      <c r="B34" s="63" t="n"/>
      <c r="C34" s="63" t="n"/>
      <c r="D34" s="63" t="n"/>
    </row>
    <row r="35" ht="15" customHeight="1" s="33">
      <c r="A35" s="63" t="n"/>
      <c r="B35" s="63" t="n"/>
      <c r="C35" s="63" t="n"/>
      <c r="D35" s="63" t="n"/>
    </row>
    <row r="36" ht="15" customHeight="1" s="33">
      <c r="A36" s="63" t="n"/>
      <c r="B36" s="63" t="n"/>
      <c r="C36" s="63" t="n"/>
      <c r="D36" s="63" t="n"/>
    </row>
    <row r="37" ht="15" customHeight="1" s="33">
      <c r="A37" s="63" t="n"/>
      <c r="B37" s="63" t="n"/>
      <c r="C37" s="63" t="n"/>
      <c r="D37" s="63" t="n"/>
    </row>
    <row r="38" ht="15" customHeight="1" s="33">
      <c r="A38" s="63" t="n"/>
      <c r="B38" s="63" t="n"/>
      <c r="C38" s="63" t="n"/>
      <c r="D38" s="63" t="n"/>
    </row>
    <row r="39" ht="15" customHeight="1" s="33">
      <c r="A39" s="63" t="n"/>
      <c r="B39" s="63" t="n"/>
      <c r="C39" s="63" t="n"/>
      <c r="D39" s="63" t="n"/>
    </row>
    <row r="40" ht="15" customHeight="1" s="33">
      <c r="A40" s="63" t="n"/>
      <c r="B40" s="63" t="n"/>
      <c r="C40" s="63" t="n"/>
      <c r="D40" s="63" t="n"/>
    </row>
    <row r="41" ht="15" customHeight="1" s="33">
      <c r="A41" s="63" t="n"/>
      <c r="B41" s="63" t="n"/>
      <c r="C41" s="63" t="n"/>
      <c r="D41" s="63" t="n"/>
    </row>
    <row r="42" ht="15" customHeight="1" s="33">
      <c r="A42" s="63" t="n"/>
      <c r="B42" s="63" t="n"/>
      <c r="C42" s="63" t="n"/>
      <c r="D42" s="63" t="n"/>
    </row>
    <row r="43" ht="15" customHeight="1" s="33">
      <c r="A43" s="63" t="n"/>
      <c r="B43" s="63" t="n"/>
      <c r="C43" s="63" t="n"/>
      <c r="D43" s="63" t="n"/>
    </row>
    <row r="44" ht="15" customHeight="1" s="33">
      <c r="A44" s="63" t="n"/>
      <c r="B44" s="63" t="n"/>
      <c r="C44" s="63" t="n"/>
      <c r="D44" s="63" t="n"/>
    </row>
    <row r="45" ht="15" customHeight="1" s="33">
      <c r="A45" s="63" t="n"/>
      <c r="B45" s="63" t="n"/>
      <c r="C45" s="63" t="n"/>
      <c r="D45" s="63" t="n"/>
    </row>
    <row r="46" ht="15" customHeight="1" s="33">
      <c r="A46" s="63" t="n"/>
      <c r="B46" s="63" t="n"/>
      <c r="C46" s="63" t="n"/>
      <c r="D46" s="63" t="n"/>
    </row>
    <row r="47" ht="15" customHeight="1" s="33">
      <c r="A47" s="63" t="n"/>
      <c r="B47" s="63" t="n"/>
      <c r="C47" s="63" t="n"/>
      <c r="D47" s="63" t="n"/>
    </row>
    <row r="48" ht="15" customHeight="1" s="33">
      <c r="A48" s="63" t="n"/>
      <c r="B48" s="63" t="n"/>
      <c r="C48" s="63" t="n"/>
      <c r="D48" s="63" t="n"/>
    </row>
    <row r="49" ht="15" customHeight="1" s="33">
      <c r="A49" s="63" t="n"/>
      <c r="B49" s="63" t="n"/>
      <c r="C49" s="63" t="n"/>
      <c r="D49" s="63" t="n"/>
    </row>
    <row r="50" ht="15" customHeight="1" s="33">
      <c r="A50" s="63" t="n"/>
      <c r="B50" s="63" t="n"/>
      <c r="C50" s="63" t="n"/>
      <c r="D50" s="63" t="n"/>
    </row>
    <row r="51" ht="15" customHeight="1" s="33">
      <c r="A51" s="63" t="n"/>
      <c r="B51" s="63" t="n"/>
      <c r="C51" s="63" t="n"/>
      <c r="D51" s="63" t="n"/>
    </row>
    <row r="52" ht="15" customHeight="1" s="33">
      <c r="A52" s="63" t="n"/>
      <c r="B52" s="63" t="n"/>
      <c r="C52" s="63" t="n"/>
      <c r="D52" s="63" t="n"/>
    </row>
    <row r="53" ht="15" customHeight="1" s="33">
      <c r="A53" s="63" t="n"/>
      <c r="B53" s="63" t="n"/>
      <c r="C53" s="63" t="n"/>
      <c r="D53" s="63" t="n"/>
    </row>
    <row r="54" ht="15" customHeight="1" s="33">
      <c r="A54" s="63" t="n"/>
      <c r="B54" s="63" t="n"/>
      <c r="C54" s="63" t="n"/>
      <c r="D54" s="63" t="n"/>
    </row>
    <row r="55" ht="15" customHeight="1" s="33">
      <c r="A55" s="63" t="n"/>
      <c r="B55" s="63" t="n"/>
      <c r="C55" s="63" t="n"/>
      <c r="D55" s="63" t="n"/>
    </row>
    <row r="56" ht="15" customHeight="1" s="33">
      <c r="A56" s="63" t="n"/>
      <c r="B56" s="63" t="n"/>
      <c r="C56" s="63" t="n"/>
      <c r="D56" s="63" t="n"/>
    </row>
    <row r="57" ht="15" customHeight="1" s="33">
      <c r="A57" s="63" t="n"/>
      <c r="B57" s="63" t="n"/>
      <c r="C57" s="63" t="n"/>
      <c r="D57" s="63" t="n"/>
    </row>
    <row r="58" ht="15" customHeight="1" s="33">
      <c r="A58" s="63" t="n"/>
      <c r="B58" s="63" t="n"/>
      <c r="C58" s="63" t="n"/>
      <c r="D58" s="63" t="n"/>
    </row>
    <row r="59" ht="15" customHeight="1" s="33">
      <c r="A59" s="63" t="n"/>
      <c r="B59" s="63" t="n"/>
      <c r="C59" s="63" t="n"/>
      <c r="D59" s="63" t="n"/>
    </row>
    <row r="60" ht="15" customHeight="1" s="33">
      <c r="A60" s="63" t="n"/>
      <c r="B60" s="63" t="n"/>
      <c r="C60" s="63" t="n"/>
      <c r="D60" s="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2026-10-07T14:43:41Z</dcterms:created>
  <dcterms:modified xmlns:dcterms="http://purl.org/dc/terms/" xmlns:xsi="http://www.w3.org/2001/XMLSchema-instance" xsi:type="dcterms:W3CDTF">2026-11-01T14:46:11Z</dcterms:modified>
  <cp:revision>0</cp:revision>
</cp:coreProperties>
</file>